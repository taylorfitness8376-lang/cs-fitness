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21f73f7ef55f4928/Documents/Oct 26 8 Week/"/>
    </mc:Choice>
  </mc:AlternateContent>
  <xr:revisionPtr revIDLastSave="0" documentId="8_{01195CDC-3E17-4F1C-A9F0-32D3A649E8D7}" xr6:coauthVersionLast="47" xr6:coauthVersionMax="47" xr10:uidLastSave="{00000000-0000-0000-0000-000000000000}"/>
  <bookViews>
    <workbookView xWindow="-120" yWindow="-120" windowWidth="29040" windowHeight="15720" xr2:uid="{00000000-000D-0000-FFFF-FFFF00000000}"/>
  </bookViews>
  <sheets>
    <sheet name="Front Sheet" sheetId="1" r:id="rId1"/>
    <sheet name="CHECK IN SINGLE PRINT" sheetId="11" r:id="rId2"/>
    <sheet name="CHECK IN Comp Based" sheetId="13" r:id="rId3"/>
    <sheet name="Mens Workouts" sheetId="4" r:id="rId4"/>
    <sheet name="Ladies Workouts" sheetId="10" r:id="rId5"/>
    <sheet name="Exercises" sheetId="6" r:id="rId6"/>
  </sheets>
  <definedNames>
    <definedName name="_xlnm._FilterDatabase" localSheetId="5" hidden="1">Exercises!$C$5:$C$50</definedName>
    <definedName name="_xlnm.Print_Area" localSheetId="2">'CHECK IN Comp Based'!$A$1:$N$99</definedName>
    <definedName name="_xlnm.Print_Area" localSheetId="1">'CHECK IN SINGLE PRINT'!$A$1:$N$19</definedName>
    <definedName name="_xlnm.Print_Area" localSheetId="0">'Front Sheet'!$A$1:$K$35</definedName>
    <definedName name="_xlnm.Print_Area" localSheetId="4">'Ladies Workouts'!$A$1:$P$88</definedName>
    <definedName name="_xlnm.Print_Area" localSheetId="3">'Mens Workouts'!$A$1:$P$91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iL0e+CYgYmn7TBtLbldgXx8cGeWA=="/>
    </ext>
  </extLst>
</workbook>
</file>

<file path=xl/calcChain.xml><?xml version="1.0" encoding="utf-8"?>
<calcChain xmlns="http://schemas.openxmlformats.org/spreadsheetml/2006/main">
  <c r="F12" i="1" l="1"/>
  <c r="E24" i="1"/>
  <c r="B22" i="13" l="1"/>
  <c r="C22" i="13" s="1"/>
  <c r="M136" i="13" l="1"/>
  <c r="M134" i="13"/>
  <c r="M132" i="13"/>
  <c r="M126" i="13"/>
  <c r="M124" i="13"/>
  <c r="M122" i="13"/>
  <c r="M116" i="13"/>
  <c r="M114" i="13"/>
  <c r="M112" i="13"/>
  <c r="M106" i="13"/>
  <c r="M104" i="13"/>
  <c r="M102" i="13"/>
  <c r="M96" i="13"/>
  <c r="M94" i="13"/>
  <c r="M92" i="13"/>
  <c r="M86" i="13"/>
  <c r="M84" i="13"/>
  <c r="M82" i="13"/>
  <c r="M76" i="13"/>
  <c r="M74" i="13"/>
  <c r="M72" i="13"/>
  <c r="M66" i="13"/>
  <c r="M64" i="13"/>
  <c r="M62" i="13"/>
  <c r="M56" i="13"/>
  <c r="M54" i="13"/>
  <c r="M52" i="13"/>
  <c r="M46" i="13"/>
  <c r="M44" i="13"/>
  <c r="M42" i="13"/>
  <c r="M36" i="13"/>
  <c r="M34" i="13"/>
  <c r="M32" i="13"/>
  <c r="M26" i="13"/>
  <c r="M24" i="13"/>
  <c r="M22" i="13"/>
  <c r="B23" i="13"/>
  <c r="C23" i="13" s="1"/>
  <c r="C18" i="13"/>
  <c r="C17" i="13"/>
  <c r="M16" i="13"/>
  <c r="M18" i="13" s="1"/>
  <c r="C16" i="13"/>
  <c r="C15" i="13"/>
  <c r="M14" i="13"/>
  <c r="C14" i="13"/>
  <c r="C13" i="13"/>
  <c r="M12" i="13"/>
  <c r="C12" i="13"/>
  <c r="M138" i="13" l="1"/>
  <c r="M128" i="13"/>
  <c r="M118" i="13"/>
  <c r="M98" i="13"/>
  <c r="M108" i="13"/>
  <c r="M88" i="13"/>
  <c r="M78" i="13"/>
  <c r="M68" i="13"/>
  <c r="M58" i="13"/>
  <c r="M48" i="13"/>
  <c r="M38" i="13"/>
  <c r="M28" i="13"/>
  <c r="B24" i="13"/>
  <c r="C24" i="13" s="1"/>
  <c r="B25" i="13" l="1"/>
  <c r="C25" i="13" s="1"/>
  <c r="B26" i="13" l="1"/>
  <c r="C26" i="13" s="1"/>
  <c r="B27" i="13" l="1"/>
  <c r="C27" i="13" s="1"/>
  <c r="B28" i="13" l="1"/>
  <c r="B32" i="13" l="1"/>
  <c r="C28" i="13"/>
  <c r="B33" i="13" l="1"/>
  <c r="C32" i="13"/>
  <c r="B34" i="13" l="1"/>
  <c r="C33" i="13"/>
  <c r="B35" i="13" l="1"/>
  <c r="C34" i="13"/>
  <c r="B36" i="13" l="1"/>
  <c r="C35" i="13"/>
  <c r="B37" i="13" l="1"/>
  <c r="C36" i="13"/>
  <c r="B38" i="13" l="1"/>
  <c r="C37" i="13"/>
  <c r="B42" i="13" l="1"/>
  <c r="C38" i="13"/>
  <c r="B43" i="13" l="1"/>
  <c r="C42" i="13"/>
  <c r="B44" i="13" l="1"/>
  <c r="C43" i="13"/>
  <c r="B45" i="13" l="1"/>
  <c r="C44" i="13"/>
  <c r="B46" i="13" l="1"/>
  <c r="C45" i="13"/>
  <c r="C46" i="13" l="1"/>
  <c r="B47" i="13"/>
  <c r="B48" i="13" l="1"/>
  <c r="C47" i="13"/>
  <c r="B52" i="13" l="1"/>
  <c r="C48" i="13"/>
  <c r="C52" i="13" l="1"/>
  <c r="B53" i="13"/>
  <c r="B54" i="13" l="1"/>
  <c r="C53" i="13"/>
  <c r="B55" i="13" l="1"/>
  <c r="C54" i="13"/>
  <c r="C55" i="13" l="1"/>
  <c r="B56" i="13"/>
  <c r="C56" i="13" l="1"/>
  <c r="B57" i="13"/>
  <c r="B58" i="13" l="1"/>
  <c r="C57" i="13"/>
  <c r="C58" i="13" l="1"/>
  <c r="B62" i="13"/>
  <c r="C62" i="13" l="1"/>
  <c r="B63" i="13"/>
  <c r="B64" i="13" l="1"/>
  <c r="C63" i="13"/>
  <c r="C64" i="13" l="1"/>
  <c r="B65" i="13"/>
  <c r="C65" i="13" l="1"/>
  <c r="B66" i="13"/>
  <c r="B67" i="13" l="1"/>
  <c r="C66" i="13"/>
  <c r="B68" i="13" l="1"/>
  <c r="C67" i="13"/>
  <c r="B72" i="13" l="1"/>
  <c r="C68" i="13"/>
  <c r="B73" i="13" l="1"/>
  <c r="C72" i="13"/>
  <c r="B74" i="13" l="1"/>
  <c r="C73" i="13"/>
  <c r="B75" i="13" l="1"/>
  <c r="C74" i="13"/>
  <c r="B76" i="13" l="1"/>
  <c r="C75" i="13"/>
  <c r="B77" i="13" l="1"/>
  <c r="C76" i="13"/>
  <c r="B78" i="13" l="1"/>
  <c r="C77" i="13"/>
  <c r="B82" i="13" l="1"/>
  <c r="C78" i="13"/>
  <c r="B83" i="13" l="1"/>
  <c r="C82" i="13"/>
  <c r="B84" i="13" l="1"/>
  <c r="C83" i="13"/>
  <c r="B85" i="13" l="1"/>
  <c r="C84" i="13"/>
  <c r="B86" i="13" l="1"/>
  <c r="C85" i="13"/>
  <c r="C86" i="13" l="1"/>
  <c r="B87" i="13"/>
  <c r="B88" i="13" l="1"/>
  <c r="C87" i="13"/>
  <c r="B92" i="13" l="1"/>
  <c r="C88" i="13"/>
  <c r="C92" i="13" l="1"/>
  <c r="B93" i="13"/>
  <c r="B94" i="13" l="1"/>
  <c r="C93" i="13"/>
  <c r="B95" i="13" l="1"/>
  <c r="C94" i="13"/>
  <c r="C95" i="13" l="1"/>
  <c r="B96" i="13"/>
  <c r="C96" i="13" l="1"/>
  <c r="B97" i="13"/>
  <c r="B98" i="13" l="1"/>
  <c r="C97" i="13"/>
  <c r="C98" i="13" l="1"/>
  <c r="B102" i="13"/>
  <c r="C18" i="11"/>
  <c r="C17" i="11"/>
  <c r="J9" i="1"/>
  <c r="C17" i="1"/>
  <c r="D17" i="1" s="1"/>
  <c r="E17" i="1" s="1"/>
  <c r="F17" i="1" s="1"/>
  <c r="G17" i="1" s="1"/>
  <c r="H17" i="1" s="1"/>
  <c r="I17" i="1" s="1"/>
  <c r="J17" i="1" s="1"/>
  <c r="C16" i="1"/>
  <c r="D16" i="1" s="1"/>
  <c r="E16" i="1" s="1"/>
  <c r="F16" i="1" s="1"/>
  <c r="G16" i="1" s="1"/>
  <c r="H16" i="1" s="1"/>
  <c r="I16" i="1" s="1"/>
  <c r="J16" i="1" s="1"/>
  <c r="E12" i="1"/>
  <c r="H12" i="1"/>
  <c r="L21" i="1" l="1"/>
  <c r="E21" i="1"/>
  <c r="C102" i="13"/>
  <c r="B103" i="13"/>
  <c r="G21" i="1" l="1"/>
  <c r="L25" i="1" s="1"/>
  <c r="H21" i="1" s="1"/>
  <c r="B104" i="13"/>
  <c r="C103" i="13"/>
  <c r="C104" i="13" l="1"/>
  <c r="B105" i="13"/>
  <c r="C105" i="13" l="1"/>
  <c r="B106" i="13"/>
  <c r="C106" i="13" l="1"/>
  <c r="B107" i="13"/>
  <c r="B108" i="13" l="1"/>
  <c r="C107" i="13"/>
  <c r="C108" i="13" l="1"/>
  <c r="B112" i="13"/>
  <c r="C112" i="13" l="1"/>
  <c r="B113" i="13"/>
  <c r="C113" i="13" l="1"/>
  <c r="B114" i="13"/>
  <c r="C114" i="13" l="1"/>
  <c r="B115" i="13"/>
  <c r="C115" i="13" l="1"/>
  <c r="B116" i="13"/>
  <c r="C116" i="13" l="1"/>
  <c r="B117" i="13"/>
  <c r="B118" i="13" l="1"/>
  <c r="C117" i="13"/>
  <c r="C118" i="13" l="1"/>
  <c r="B122" i="13"/>
  <c r="C122" i="13" l="1"/>
  <c r="B123" i="13"/>
  <c r="C123" i="13" l="1"/>
  <c r="B124" i="13"/>
  <c r="C124" i="13" l="1"/>
  <c r="B125" i="13"/>
  <c r="C125" i="13" l="1"/>
  <c r="B126" i="13"/>
  <c r="B127" i="13" l="1"/>
  <c r="C126" i="13"/>
  <c r="B128" i="13" l="1"/>
  <c r="C127" i="13"/>
  <c r="C128" i="13" l="1"/>
  <c r="B132" i="13"/>
  <c r="C132" i="13" l="1"/>
  <c r="B133" i="13"/>
  <c r="B134" i="13" l="1"/>
  <c r="C133" i="13"/>
  <c r="B135" i="13" l="1"/>
  <c r="C134" i="13"/>
  <c r="C135" i="13" l="1"/>
  <c r="B136" i="13"/>
  <c r="B137" i="13" l="1"/>
  <c r="C136" i="13"/>
  <c r="B138" i="13" l="1"/>
  <c r="C138" i="13" s="1"/>
  <c r="C137" i="13"/>
</calcChain>
</file>

<file path=xl/sharedStrings.xml><?xml version="1.0" encoding="utf-8"?>
<sst xmlns="http://schemas.openxmlformats.org/spreadsheetml/2006/main" count="639" uniqueCount="260">
  <si>
    <t>CLIENT OVERVIEW</t>
  </si>
  <si>
    <t>CLIENT NAME</t>
  </si>
  <si>
    <t>GOAL</t>
  </si>
  <si>
    <t>START DATE</t>
  </si>
  <si>
    <t>START WEIGHT</t>
  </si>
  <si>
    <t>TARGET WEIGHT</t>
  </si>
  <si>
    <t>START BODY FAT (%)</t>
  </si>
  <si>
    <t>TARGET BODY FAT (%)</t>
  </si>
  <si>
    <t>END DATE</t>
  </si>
  <si>
    <t>LEAN BODY MASS (KG)</t>
  </si>
  <si>
    <t>FAT MASS (KG)</t>
  </si>
  <si>
    <t>TO LOSE (KG)</t>
  </si>
  <si>
    <t>WEEKLY PROGRESS TARGETS</t>
  </si>
  <si>
    <t>WEEK 1</t>
  </si>
  <si>
    <t>WEEK 2</t>
  </si>
  <si>
    <t>WEEK 3</t>
  </si>
  <si>
    <t>WEEK 4</t>
  </si>
  <si>
    <t>WEEK 5</t>
  </si>
  <si>
    <t>WEEK 6</t>
  </si>
  <si>
    <t>WEEK 7</t>
  </si>
  <si>
    <t>WEEK 8</t>
  </si>
  <si>
    <t>DAILY NUTRITIONAL TARGET</t>
  </si>
  <si>
    <t>CALORIES</t>
  </si>
  <si>
    <t>PROTEIN</t>
  </si>
  <si>
    <t>FATS</t>
  </si>
  <si>
    <t>CARBOHYDRATES</t>
  </si>
  <si>
    <t>DAILY WATER INTAKE IN LITERS</t>
  </si>
  <si>
    <t>ACTIVITY TARGET</t>
  </si>
  <si>
    <t>CARDIO (per week)</t>
  </si>
  <si>
    <t>DATE</t>
  </si>
  <si>
    <t>DAY</t>
  </si>
  <si>
    <t>WEIGHT</t>
  </si>
  <si>
    <t>TIME</t>
  </si>
  <si>
    <t>TYPE</t>
  </si>
  <si>
    <t>STEPS</t>
  </si>
  <si>
    <t>SLEEP</t>
  </si>
  <si>
    <t>STICK TO PLAN? (Y/N)</t>
  </si>
  <si>
    <t>NOTES</t>
  </si>
  <si>
    <t>WEEKLY AVERAGES</t>
  </si>
  <si>
    <t>Average steps</t>
  </si>
  <si>
    <t>Average weight (KG)</t>
  </si>
  <si>
    <t>Average weight loss</t>
  </si>
  <si>
    <t>Average Calories</t>
  </si>
  <si>
    <t>Average Steps</t>
  </si>
  <si>
    <t>Order</t>
  </si>
  <si>
    <t>Exercise</t>
  </si>
  <si>
    <t>Sets</t>
  </si>
  <si>
    <t>Rest</t>
  </si>
  <si>
    <t>14kg x 12,12,10</t>
  </si>
  <si>
    <t>10kg x 12,12,12</t>
  </si>
  <si>
    <t>C1</t>
  </si>
  <si>
    <t>C2</t>
  </si>
  <si>
    <t>D1</t>
  </si>
  <si>
    <t>D2</t>
  </si>
  <si>
    <t>D3</t>
  </si>
  <si>
    <t>E1</t>
  </si>
  <si>
    <t>Rep range note: All exercises to be performed as per the reps stated. Aim for the maximum rep range and no less than the minimum. If you cannot achieve these numbers, adjust the weight to suit.</t>
  </si>
  <si>
    <t>Dumbbell Hammer Curls</t>
  </si>
  <si>
    <t>Leg Press</t>
  </si>
  <si>
    <t>Arnold Press</t>
  </si>
  <si>
    <t>E2</t>
  </si>
  <si>
    <t>Deadlift</t>
  </si>
  <si>
    <t>E3</t>
  </si>
  <si>
    <t>EXERCISES</t>
  </si>
  <si>
    <t>Dumbbell Romanian Deadlift</t>
  </si>
  <si>
    <t>Single Arm Dumbbell Row</t>
  </si>
  <si>
    <t>WEEKLY CHECK IN SHEET</t>
  </si>
  <si>
    <t>WORKOUT 1 - FULL BODY</t>
  </si>
  <si>
    <t>Mens Workouts</t>
  </si>
  <si>
    <t>Ladies Workouts</t>
  </si>
  <si>
    <t>Barbell Back Squat</t>
  </si>
  <si>
    <t>Notes</t>
  </si>
  <si>
    <t>Barbell Bench Press</t>
  </si>
  <si>
    <t>Press Ups</t>
  </si>
  <si>
    <t>French Press</t>
  </si>
  <si>
    <t>Hammer Curls</t>
  </si>
  <si>
    <t>Hard contraction at the top of each rep</t>
  </si>
  <si>
    <t>Perform weighted if possible</t>
  </si>
  <si>
    <t>Two arms at same time</t>
  </si>
  <si>
    <t>WORKOUT 2 - UPPER BODY</t>
  </si>
  <si>
    <t>Select the same weight for 10 reps then increase for the sets of 6</t>
  </si>
  <si>
    <t>Alternating Dumbbell Bench Press</t>
  </si>
  <si>
    <t>B</t>
  </si>
  <si>
    <t>A</t>
  </si>
  <si>
    <t>C</t>
  </si>
  <si>
    <t>Chest Supported Row</t>
  </si>
  <si>
    <t>10 reps each arm</t>
  </si>
  <si>
    <t>Controlled movement</t>
  </si>
  <si>
    <t>Dumbbell Side Raises</t>
  </si>
  <si>
    <t>Front Plate Raises</t>
  </si>
  <si>
    <t>These wont need to be heavy</t>
  </si>
  <si>
    <t>10-15kg max weight</t>
  </si>
  <si>
    <t>Close Grip Lat Pull Down</t>
  </si>
  <si>
    <t>Cable Curls</t>
  </si>
  <si>
    <t>Make sure to control the movement</t>
  </si>
  <si>
    <t>Small pause, squeeze biceps at top</t>
  </si>
  <si>
    <t>Find comfortable position that you are stable in</t>
  </si>
  <si>
    <t>Increase the weight as the reps decrease</t>
  </si>
  <si>
    <t>Dumbbells or Barbell is great</t>
  </si>
  <si>
    <t>Bulgarian Split Squats</t>
  </si>
  <si>
    <t>On last set on 12th rep, hold at bottom for 10s, drop the weight, then perform 12 bodyweight reps</t>
  </si>
  <si>
    <t>Leg Extentions</t>
  </si>
  <si>
    <t>KB Swings</t>
  </si>
  <si>
    <t>Strict form and pause at the top of the rep</t>
  </si>
  <si>
    <t>Calf Raises</t>
  </si>
  <si>
    <t>Using dumbbells, perform, these until failure, rest then repeat twice more</t>
  </si>
  <si>
    <t>MAX</t>
  </si>
  <si>
    <t>Reps</t>
  </si>
  <si>
    <t>WORKOUT 3 - LOWER BODY</t>
  </si>
  <si>
    <t>WORKOUT 4 - CHEST &amp; BACK</t>
  </si>
  <si>
    <t>Flat Dumbbell Chest Press</t>
  </si>
  <si>
    <t>Progressively heavier on your 6 rep sets</t>
  </si>
  <si>
    <t>Chin Ups</t>
  </si>
  <si>
    <t>6-8</t>
  </si>
  <si>
    <t>Band assisted or assisted machine is great too</t>
  </si>
  <si>
    <t>Straight Arm Lat Pull Downs</t>
  </si>
  <si>
    <t>Use a rope or straight bar attachment</t>
  </si>
  <si>
    <t>Deficit Push Ups</t>
  </si>
  <si>
    <t>Elevate feet on bench or box</t>
  </si>
  <si>
    <t>10-12</t>
  </si>
  <si>
    <t>Use the low or high set up for these</t>
  </si>
  <si>
    <t>Perform with both dumbbells simultaneously</t>
  </si>
  <si>
    <t xml:space="preserve">These 3 exercises are all working sets and should challenge you. As you are decreasing reps, the weight should be increasing. </t>
  </si>
  <si>
    <t>Find a comfortable position where you can get the max contraction</t>
  </si>
  <si>
    <t>Find a comfortable position for you on these</t>
  </si>
  <si>
    <t>Seated Dumbbell Shoulder Press</t>
  </si>
  <si>
    <t>Lat Pulldown</t>
  </si>
  <si>
    <t>Wide grip to be used</t>
  </si>
  <si>
    <t>Light weight required</t>
  </si>
  <si>
    <t>Dumbbell Reverse Lunges</t>
  </si>
  <si>
    <t>10 reps each side, alternate legs</t>
  </si>
  <si>
    <t>Chest to the floor</t>
  </si>
  <si>
    <t>Can use dumbbells, barbell or cable machine</t>
  </si>
  <si>
    <t>Barbell Bicep Curls</t>
  </si>
  <si>
    <t>After warm up, find weight you can stick with for all 4 sets</t>
  </si>
  <si>
    <t>Choose Sumo or Conventional based on preferences</t>
  </si>
  <si>
    <t>Side Raises</t>
  </si>
  <si>
    <t>Barbell Strict Press</t>
  </si>
  <si>
    <t>Same weight for all sets after warm up set</t>
  </si>
  <si>
    <t>Can use band or assisted machine</t>
  </si>
  <si>
    <t>Underhand Rows</t>
  </si>
  <si>
    <t>Small pause at the top of the movement</t>
  </si>
  <si>
    <t>Smooth motion throughout</t>
  </si>
  <si>
    <t>5-10kg Max</t>
  </si>
  <si>
    <t>Tricep Extentions</t>
  </si>
  <si>
    <t>Rope or straight bar</t>
  </si>
  <si>
    <t>Close grip attachment</t>
  </si>
  <si>
    <t>Go heavy on these and get deep</t>
  </si>
  <si>
    <t>Adductor Machine</t>
  </si>
  <si>
    <t>You should manage a fairly heavy weight</t>
  </si>
  <si>
    <t>Increase weight slightly as the reps decrease</t>
  </si>
  <si>
    <t>Squat Jump</t>
  </si>
  <si>
    <t>Keep tension on the quads and don’t lock out at the top of the movement</t>
  </si>
  <si>
    <t>Aim to get as much height as possible on each rep</t>
  </si>
  <si>
    <t>WORKOUT 4 - GLUTES &amp; BACK</t>
  </si>
  <si>
    <t>Barbell Hip Thrusts</t>
  </si>
  <si>
    <t>12</t>
  </si>
  <si>
    <t>Perform these however you like that allows you to get the deepest contraction</t>
  </si>
  <si>
    <t>Lateral Box Step Ups</t>
  </si>
  <si>
    <t>Seated Row Machine</t>
  </si>
  <si>
    <t>Dumbbell Glute Bridges</t>
  </si>
  <si>
    <t>Holding barbell or dumbbell on hips</t>
  </si>
  <si>
    <t>Cable Kickbacks</t>
  </si>
  <si>
    <t>If you don’t have ankle attachment, swap for bodyweight and perform sets of 25 reps</t>
  </si>
  <si>
    <t>Machine cable or dumbbell if not</t>
  </si>
  <si>
    <t>Half Kneeling Single Arm Cable Rows</t>
  </si>
  <si>
    <t>Keep core enagaged</t>
  </si>
  <si>
    <t>F</t>
  </si>
  <si>
    <t>E</t>
  </si>
  <si>
    <t>Focus on using the leg ON the box to stand up and not bouncing at the bottom. Add weight where possible</t>
  </si>
  <si>
    <t>COMPLETE DAILY - SEND IMAGE TO CHRIS END OF EACH WEEK</t>
  </si>
  <si>
    <t>CS FITNESS - 8 WEEK
TRANSFORMATION CHALLENGE</t>
  </si>
  <si>
    <t>SELECT EXERCISE</t>
  </si>
  <si>
    <t>Bent Over Row</t>
  </si>
  <si>
    <t>Deficit Dumbbell Back Lunge</t>
  </si>
  <si>
    <t>Barbell Shoulder Press</t>
  </si>
  <si>
    <t>Cable Flys</t>
  </si>
  <si>
    <t>Seated Barbell Shoulder Press</t>
  </si>
  <si>
    <t>2 or 3x per week</t>
  </si>
  <si>
    <t>STRENGTH (per week)</t>
  </si>
  <si>
    <t>Week 1</t>
  </si>
  <si>
    <t>Week 2</t>
  </si>
  <si>
    <t>Week 3</t>
  </si>
  <si>
    <t>Week 4</t>
  </si>
  <si>
    <t>Week 5</t>
  </si>
  <si>
    <t>Week 6</t>
  </si>
  <si>
    <t>Week 7</t>
  </si>
  <si>
    <t>Week 8</t>
  </si>
  <si>
    <t>STEPS (minimum per day)</t>
  </si>
  <si>
    <t>Insert weights &amp; reps</t>
  </si>
  <si>
    <t>here. Example below</t>
  </si>
  <si>
    <t>Keep weight the same throughtout the sets</t>
  </si>
  <si>
    <t xml:space="preserve">Week 1 Date </t>
  </si>
  <si>
    <t>Week 2 Date</t>
  </si>
  <si>
    <t xml:space="preserve">Week 3 Date </t>
  </si>
  <si>
    <t>Week 4 Date</t>
  </si>
  <si>
    <t>Week 5 Date</t>
  </si>
  <si>
    <t>Week 6 Date</t>
  </si>
  <si>
    <t>Week 7 Date</t>
  </si>
  <si>
    <t>Week 8 Date</t>
  </si>
  <si>
    <t>WEEK     of 8</t>
  </si>
  <si>
    <t>M</t>
  </si>
  <si>
    <t>T</t>
  </si>
  <si>
    <t>W</t>
  </si>
  <si>
    <t>TARGETS</t>
  </si>
  <si>
    <t>EXAMPLE</t>
  </si>
  <si>
    <t>P R O G R E S S   T R A C K E R   O V E R V I E W</t>
  </si>
  <si>
    <t>Average calories</t>
  </si>
  <si>
    <t>DAY 1</t>
  </si>
  <si>
    <t>GYM</t>
  </si>
  <si>
    <t>7hrs 30 mins</t>
  </si>
  <si>
    <t>Y</t>
  </si>
  <si>
    <t>Weight to be taken every day. Try to take this first thing in the morning, after you have been to the toilet</t>
  </si>
  <si>
    <t>DAY 2</t>
  </si>
  <si>
    <t>CARDIO</t>
  </si>
  <si>
    <t>6hrs 20 mins</t>
  </si>
  <si>
    <t>DAY 3</t>
  </si>
  <si>
    <t>REST</t>
  </si>
  <si>
    <t>7hrs 25mins</t>
  </si>
  <si>
    <t>N</t>
  </si>
  <si>
    <t>Work lunch so extra calories.</t>
  </si>
  <si>
    <t>What time you took the weight at. As this may not be possible at the same circumstances each day which may affect reading. It can help when looking at the data to understand fluctations.</t>
  </si>
  <si>
    <t>DAY 4</t>
  </si>
  <si>
    <t>8hrs 5 mins</t>
  </si>
  <si>
    <t>DAY 5</t>
  </si>
  <si>
    <t>Good exercise, easy steps today</t>
  </si>
  <si>
    <t>Select the dropdown menu and select what type of day it is. Strength (Gym), Classes (cardio), both or rest day.</t>
  </si>
  <si>
    <t>DAY 6</t>
  </si>
  <si>
    <t>6hrs 40 mins</t>
  </si>
  <si>
    <t>Over on calories, out for dinner - lack of steps</t>
  </si>
  <si>
    <t>DAY 7</t>
  </si>
  <si>
    <t>7hrs 10mins</t>
  </si>
  <si>
    <t>Feel great, steps in today, good meals</t>
  </si>
  <si>
    <t>Total step count for the day. Would advise to use a step counter (ie FitBit) rather than rely on your mobile phone. ALL these boxes should be green - do not make any excuses!</t>
  </si>
  <si>
    <t>How many grams of protein you have consumed throughout the day. Would advise to use MyFitnessPal to ensure more accurate readings.</t>
  </si>
  <si>
    <t>GYM &amp; CARDIO</t>
  </si>
  <si>
    <t>How many calories you have consumed throughout the day. Would advise to use MyFitnessPal to ensure more accurate readings.</t>
  </si>
  <si>
    <t>How many hours sleep did you get? You should be aiming for a minimum of 8 hours per night.</t>
  </si>
  <si>
    <t>STICK TO PLAN?</t>
  </si>
  <si>
    <t>Did you stick to the plan? Y = yes. N = no. If there are multiple red's in this column, then ask yourself why? What can be done to resolve this issue? Results come from sticking to the plan!</t>
  </si>
  <si>
    <t>Put anything in this box you feel is relevant - Overly hungry? Overly tired? Felt great! etc.</t>
  </si>
  <si>
    <t>WEEK 9</t>
  </si>
  <si>
    <t>WEEK 10</t>
  </si>
  <si>
    <t>WEEK 11</t>
  </si>
  <si>
    <t>WEEK 12</t>
  </si>
  <si>
    <t>Weight Loss</t>
  </si>
  <si>
    <t>16kg x 10, 10, 10, 10</t>
  </si>
  <si>
    <t>16kg x12, 12, 12</t>
  </si>
  <si>
    <t>20kg x10, 10</t>
  </si>
  <si>
    <t>30kg x6, 6</t>
  </si>
  <si>
    <t>40kg x9</t>
  </si>
  <si>
    <t>50kg x6</t>
  </si>
  <si>
    <t>60kg x4, 4</t>
  </si>
  <si>
    <t>40kg x15</t>
  </si>
  <si>
    <t>60kg x8</t>
  </si>
  <si>
    <t>70kg x5</t>
  </si>
  <si>
    <t>80kg x3, 3</t>
  </si>
  <si>
    <t>40kg x10, 10, 10</t>
  </si>
  <si>
    <t>3x per week</t>
  </si>
  <si>
    <t xml:space="preserve">Ewan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</si>
</sst>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m&quot; &quot;d"/>
    <numFmt numFmtId="165" formatCode="0.0"/>
    <numFmt numFmtId="166" formatCode="d/m/yyyy"/>
    <numFmt numFmtId="167" formatCode="[$-F400]h:mm:ss\ AM/PM"/>
    <numFmt numFmtId="168" formatCode="[$-F800]dddd\,\ mmmm\ dd\,\ yyyy"/>
  </numFmts>
  <fonts count="49">
    <font>
      <sz val="11"/>
      <color rgb="FF000000"/>
      <name val="Arial"/>
    </font>
    <font>
      <sz val="11"/>
      <name val="Arial"/>
      <family val="2"/>
    </font>
    <font>
      <b/>
      <sz val="11"/>
      <name val="Calibri"/>
      <family val="2"/>
    </font>
    <font>
      <u/>
      <sz val="11"/>
      <color theme="10"/>
      <name val="Arial"/>
      <family val="2"/>
    </font>
    <font>
      <sz val="11"/>
      <color rgb="FF92D050"/>
      <name val="Arial"/>
      <family val="2"/>
    </font>
    <font>
      <b/>
      <sz val="11"/>
      <color rgb="FF92D050"/>
      <name val="Arial"/>
      <family val="2"/>
    </font>
    <font>
      <b/>
      <sz val="12"/>
      <color rgb="FF92D050"/>
      <name val="Arial"/>
      <family val="2"/>
    </font>
    <font>
      <sz val="14"/>
      <color rgb="FF92D050"/>
      <name val="Arial"/>
      <family val="2"/>
    </font>
    <font>
      <b/>
      <sz val="10"/>
      <color rgb="FF92D050"/>
      <name val="Arial"/>
      <family val="2"/>
    </font>
    <font>
      <sz val="12"/>
      <color rgb="FF92D050"/>
      <name val="Arial"/>
      <family val="2"/>
    </font>
    <font>
      <sz val="9"/>
      <color rgb="FF92D050"/>
      <name val="Arial"/>
      <family val="2"/>
    </font>
    <font>
      <sz val="10"/>
      <color rgb="FF92D050"/>
      <name val="Arial"/>
      <family val="2"/>
    </font>
    <font>
      <b/>
      <sz val="11"/>
      <name val="Arial"/>
      <family val="2"/>
    </font>
    <font>
      <b/>
      <sz val="36"/>
      <color rgb="FF26C850"/>
      <name val="Arial"/>
      <family val="2"/>
    </font>
    <font>
      <sz val="11"/>
      <color rgb="FF26C850"/>
      <name val="Arial"/>
      <family val="2"/>
    </font>
    <font>
      <sz val="12"/>
      <color rgb="FF26C850"/>
      <name val="Arial"/>
      <family val="2"/>
    </font>
    <font>
      <sz val="24"/>
      <color rgb="FF26C850"/>
      <name val="Arial"/>
      <family val="2"/>
    </font>
    <font>
      <sz val="36"/>
      <color rgb="FF26C850"/>
      <name val="Arial"/>
      <family val="2"/>
    </font>
    <font>
      <b/>
      <sz val="12"/>
      <color rgb="FF26C850"/>
      <name val="Arial"/>
      <family val="2"/>
    </font>
    <font>
      <sz val="10"/>
      <color rgb="FF26C850"/>
      <name val="Arial"/>
      <family val="2"/>
    </font>
    <font>
      <b/>
      <sz val="10"/>
      <color rgb="FF26C850"/>
      <name val="Arial"/>
      <family val="2"/>
    </font>
    <font>
      <b/>
      <sz val="12"/>
      <name val="Arial"/>
      <family val="2"/>
    </font>
    <font>
      <sz val="10"/>
      <name val="Arial"/>
      <family val="2"/>
    </font>
    <font>
      <b/>
      <sz val="14"/>
      <color rgb="FF26C850"/>
      <name val="Arial"/>
      <family val="2"/>
    </font>
    <font>
      <sz val="11"/>
      <color rgb="FF26C850"/>
      <name val="Calibri"/>
      <family val="2"/>
    </font>
    <font>
      <b/>
      <sz val="11"/>
      <color rgb="FF26C850"/>
      <name val="Calibri"/>
      <family val="2"/>
    </font>
    <font>
      <sz val="14"/>
      <color rgb="FF26C850"/>
      <name val="Calibri"/>
      <family val="2"/>
    </font>
    <font>
      <b/>
      <sz val="14"/>
      <color rgb="FF26C850"/>
      <name val="Calibri"/>
      <family val="2"/>
    </font>
    <font>
      <b/>
      <sz val="36"/>
      <color rgb="FF26C850"/>
      <name val="Montserrat"/>
    </font>
    <font>
      <u/>
      <sz val="11"/>
      <color rgb="FF26C850"/>
      <name val="Arial"/>
      <family val="2"/>
    </font>
    <font>
      <sz val="8"/>
      <color rgb="FF26C850"/>
      <name val="Calibri"/>
      <family val="2"/>
    </font>
    <font>
      <sz val="10"/>
      <color rgb="FF26C850"/>
      <name val="Calibri"/>
      <family val="2"/>
    </font>
    <font>
      <b/>
      <sz val="10"/>
      <name val="Arial"/>
      <family val="2"/>
    </font>
    <font>
      <sz val="11"/>
      <name val="Calibri"/>
      <family val="2"/>
    </font>
    <font>
      <u/>
      <sz val="11"/>
      <name val="Arial"/>
      <family val="2"/>
    </font>
    <font>
      <sz val="8"/>
      <name val="Calibri"/>
      <family val="2"/>
    </font>
    <font>
      <sz val="10"/>
      <name val="Calibri"/>
      <family val="2"/>
    </font>
    <font>
      <sz val="9"/>
      <color rgb="FF26C850"/>
      <name val="Helvetica Neue"/>
      <family val="2"/>
    </font>
    <font>
      <sz val="12"/>
      <color rgb="FF26C850"/>
      <name val="Helvetica Neue"/>
      <family val="2"/>
    </font>
    <font>
      <b/>
      <sz val="8"/>
      <color rgb="FF26C850"/>
      <name val="Helvetica Neue"/>
      <family val="2"/>
    </font>
    <font>
      <b/>
      <sz val="9"/>
      <color rgb="FF26C850"/>
      <name val="Helvetica Neue"/>
      <family val="2"/>
    </font>
    <font>
      <sz val="8"/>
      <color rgb="FF26C850"/>
      <name val="Helvetica Neue"/>
      <family val="2"/>
    </font>
    <font>
      <sz val="9"/>
      <color rgb="FF26C850"/>
      <name val="Calibri"/>
      <family val="2"/>
    </font>
    <font>
      <b/>
      <sz val="12"/>
      <color rgb="FF26C850"/>
      <name val="Calibri"/>
      <family val="2"/>
    </font>
    <font>
      <b/>
      <sz val="10"/>
      <color rgb="FF26C850"/>
      <name val="Calibri"/>
      <family val="2"/>
    </font>
    <font>
      <b/>
      <sz val="12"/>
      <color rgb="FF26C850"/>
      <name val="Helvetica Neue"/>
      <family val="2"/>
    </font>
    <font>
      <b/>
      <sz val="11"/>
      <color theme="0"/>
      <name val="Calibri"/>
      <family val="2"/>
    </font>
    <font>
      <u/>
      <sz val="11"/>
      <color theme="0"/>
      <name val="Arial"/>
      <family val="2"/>
    </font>
    <font>
      <sz val="10"/>
      <color rgb="FF475467"/>
      <name val="Segoe UI"/>
      <family val="2"/>
    </font>
  </fonts>
  <fills count="6">
    <fill>
      <patternFill patternType="none"/>
    </fill>
    <fill>
      <patternFill patternType="gray125"/>
    </fill>
    <fill>
      <patternFill patternType="solid">
        <fgColor theme="1"/>
        <bgColor indexed="64"/>
      </patternFill>
    </fill>
    <fill>
      <patternFill patternType="solid">
        <fgColor theme="1"/>
        <bgColor rgb="FF000000"/>
      </patternFill>
    </fill>
    <fill>
      <patternFill patternType="solid">
        <fgColor theme="0"/>
        <bgColor indexed="64"/>
      </patternFill>
    </fill>
    <fill>
      <patternFill patternType="solid">
        <fgColor rgb="FFF2F4F7"/>
        <bgColor indexed="64"/>
      </patternFill>
    </fill>
  </fills>
  <borders count="13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top style="hair">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top style="hair">
        <color rgb="FF000000"/>
      </top>
      <bottom style="thin">
        <color rgb="FF000000"/>
      </bottom>
      <diagonal/>
    </border>
    <border>
      <left style="medium">
        <color rgb="FF000000"/>
      </left>
      <right/>
      <top/>
      <bottom/>
      <diagonal/>
    </border>
    <border>
      <left/>
      <right style="medium">
        <color rgb="FF000000"/>
      </right>
      <top/>
      <bottom/>
      <diagonal/>
    </border>
    <border>
      <left/>
      <right/>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style="medium">
        <color rgb="FF000000"/>
      </bottom>
      <diagonal/>
    </border>
    <border>
      <left/>
      <right/>
      <top/>
      <bottom/>
      <diagonal/>
    </border>
    <border>
      <left/>
      <right style="medium">
        <color rgb="FF000000"/>
      </right>
      <top style="hair">
        <color rgb="FF000000"/>
      </top>
      <bottom style="hair">
        <color rgb="FF000000"/>
      </bottom>
      <diagonal/>
    </border>
    <border>
      <left style="thin">
        <color rgb="FF000000"/>
      </left>
      <right style="thin">
        <color rgb="FF000000"/>
      </right>
      <top/>
      <bottom/>
      <diagonal/>
    </border>
    <border>
      <left/>
      <right style="thin">
        <color rgb="FF000000"/>
      </right>
      <top/>
      <bottom style="hair">
        <color rgb="FF000000"/>
      </bottom>
      <diagonal/>
    </border>
    <border>
      <left style="medium">
        <color rgb="FF000000"/>
      </left>
      <right style="medium">
        <color rgb="FF000000"/>
      </right>
      <top/>
      <bottom style="medium">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bottom style="hair">
        <color rgb="FF000000"/>
      </bottom>
      <diagonal/>
    </border>
    <border>
      <left style="thin">
        <color rgb="FF000000"/>
      </left>
      <right/>
      <top style="medium">
        <color rgb="FF000000"/>
      </top>
      <bottom style="hair">
        <color rgb="FF000000"/>
      </bottom>
      <diagonal/>
    </border>
    <border>
      <left style="thin">
        <color rgb="FF000000"/>
      </left>
      <right/>
      <top style="hair">
        <color rgb="FF000000"/>
      </top>
      <bottom style="hair">
        <color rgb="FF000000"/>
      </bottom>
      <diagonal/>
    </border>
    <border>
      <left style="thin">
        <color rgb="FF000000"/>
      </left>
      <right/>
      <top style="hair">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medium">
        <color rgb="FF000000"/>
      </top>
      <bottom/>
      <diagonal/>
    </border>
    <border>
      <left/>
      <right style="thin">
        <color rgb="FF000000"/>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thin">
        <color rgb="FF000000"/>
      </top>
      <bottom/>
      <diagonal/>
    </border>
    <border>
      <left/>
      <right style="thin">
        <color rgb="FF000000"/>
      </right>
      <top style="hair">
        <color rgb="FF000000"/>
      </top>
      <bottom style="medium">
        <color rgb="FF000000"/>
      </bottom>
      <diagonal/>
    </border>
    <border>
      <left style="thin">
        <color rgb="FF000000"/>
      </left>
      <right/>
      <top style="hair">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diagonal/>
    </border>
    <border>
      <left/>
      <right style="medium">
        <color rgb="FF000000"/>
      </right>
      <top style="medium">
        <color rgb="FF000000"/>
      </top>
      <bottom style="medium">
        <color rgb="FF000000"/>
      </bottom>
      <diagonal/>
    </border>
    <border>
      <left style="medium">
        <color rgb="FF26C850"/>
      </left>
      <right style="medium">
        <color rgb="FF26C850"/>
      </right>
      <top style="medium">
        <color rgb="FF26C850"/>
      </top>
      <bottom style="medium">
        <color rgb="FF26C850"/>
      </bottom>
      <diagonal/>
    </border>
    <border>
      <left style="medium">
        <color rgb="FF26C850"/>
      </left>
      <right/>
      <top style="medium">
        <color rgb="FF26C850"/>
      </top>
      <bottom style="medium">
        <color rgb="FF26C850"/>
      </bottom>
      <diagonal/>
    </border>
    <border>
      <left/>
      <right style="medium">
        <color rgb="FF26C850"/>
      </right>
      <top style="medium">
        <color rgb="FF26C850"/>
      </top>
      <bottom style="medium">
        <color rgb="FF26C850"/>
      </bottom>
      <diagonal/>
    </border>
    <border>
      <left/>
      <right style="medium">
        <color rgb="FF26C850"/>
      </right>
      <top/>
      <bottom/>
      <diagonal/>
    </border>
    <border>
      <left style="medium">
        <color rgb="FF26C850"/>
      </left>
      <right style="medium">
        <color rgb="FF26C850"/>
      </right>
      <top style="medium">
        <color rgb="FF26C850"/>
      </top>
      <bottom style="thin">
        <color rgb="FF26C850"/>
      </bottom>
      <diagonal/>
    </border>
    <border>
      <left style="medium">
        <color rgb="FF26C850"/>
      </left>
      <right style="medium">
        <color rgb="FF26C850"/>
      </right>
      <top/>
      <bottom/>
      <diagonal/>
    </border>
    <border>
      <left style="medium">
        <color rgb="FF26C850"/>
      </left>
      <right style="medium">
        <color rgb="FF26C850"/>
      </right>
      <top style="medium">
        <color rgb="FF26C850"/>
      </top>
      <bottom/>
      <diagonal/>
    </border>
    <border>
      <left style="medium">
        <color rgb="FF26C850"/>
      </left>
      <right style="thin">
        <color rgb="FF000000"/>
      </right>
      <top style="medium">
        <color rgb="FF26C850"/>
      </top>
      <bottom style="medium">
        <color rgb="FF26C850"/>
      </bottom>
      <diagonal/>
    </border>
    <border>
      <left style="thin">
        <color rgb="FF000000"/>
      </left>
      <right style="thin">
        <color rgb="FF000000"/>
      </right>
      <top style="medium">
        <color rgb="FF26C850"/>
      </top>
      <bottom style="medium">
        <color rgb="FF26C850"/>
      </bottom>
      <diagonal/>
    </border>
    <border>
      <left style="thin">
        <color rgb="FF000000"/>
      </left>
      <right style="medium">
        <color rgb="FF26C850"/>
      </right>
      <top style="medium">
        <color rgb="FF26C850"/>
      </top>
      <bottom style="medium">
        <color rgb="FF26C850"/>
      </bottom>
      <diagonal/>
    </border>
    <border>
      <left/>
      <right/>
      <top/>
      <bottom style="medium">
        <color rgb="FF26C850"/>
      </bottom>
      <diagonal/>
    </border>
    <border>
      <left/>
      <right style="medium">
        <color rgb="FF26C850"/>
      </right>
      <top style="medium">
        <color rgb="FF26C850"/>
      </top>
      <bottom style="thin">
        <color indexed="64"/>
      </bottom>
      <diagonal/>
    </border>
    <border>
      <left style="thin">
        <color rgb="FF000000"/>
      </left>
      <right style="thin">
        <color rgb="FF000000"/>
      </right>
      <top style="medium">
        <color rgb="FF26C850"/>
      </top>
      <bottom style="thin">
        <color rgb="FF000000"/>
      </bottom>
      <diagonal/>
    </border>
    <border>
      <left/>
      <right style="medium">
        <color rgb="FF26C850"/>
      </right>
      <top style="thin">
        <color indexed="64"/>
      </top>
      <bottom style="medium">
        <color rgb="FF26C850"/>
      </bottom>
      <diagonal/>
    </border>
    <border>
      <left style="thin">
        <color rgb="FF000000"/>
      </left>
      <right/>
      <top style="medium">
        <color rgb="FF26C850"/>
      </top>
      <bottom style="medium">
        <color rgb="FF26C850"/>
      </bottom>
      <diagonal/>
    </border>
    <border>
      <left/>
      <right/>
      <top style="medium">
        <color rgb="FF26C850"/>
      </top>
      <bottom style="medium">
        <color rgb="FF26C850"/>
      </bottom>
      <diagonal/>
    </border>
    <border>
      <left/>
      <right style="medium">
        <color rgb="FF26C850"/>
      </right>
      <top/>
      <bottom style="thin">
        <color indexed="64"/>
      </bottom>
      <diagonal/>
    </border>
    <border>
      <left/>
      <right/>
      <top/>
      <bottom style="thin">
        <color indexed="64"/>
      </bottom>
      <diagonal/>
    </border>
    <border>
      <left style="medium">
        <color rgb="FF26C850"/>
      </left>
      <right style="medium">
        <color rgb="FF26C850"/>
      </right>
      <top/>
      <bottom style="thin">
        <color indexed="64"/>
      </bottom>
      <diagonal/>
    </border>
    <border>
      <left style="medium">
        <color rgb="FF26C850"/>
      </left>
      <right style="medium">
        <color rgb="FF26C850"/>
      </right>
      <top style="thin">
        <color indexed="64"/>
      </top>
      <bottom style="medium">
        <color rgb="FF26C850"/>
      </bottom>
      <diagonal/>
    </border>
    <border>
      <left/>
      <right style="medium">
        <color rgb="FF26C850"/>
      </right>
      <top/>
      <bottom style="medium">
        <color rgb="FF26C850"/>
      </bottom>
      <diagonal/>
    </border>
    <border>
      <left style="medium">
        <color rgb="FF26C850"/>
      </left>
      <right style="medium">
        <color rgb="FF26C850"/>
      </right>
      <top/>
      <bottom style="medium">
        <color rgb="FF26C850"/>
      </bottom>
      <diagonal/>
    </border>
    <border>
      <left style="medium">
        <color rgb="FF26C850"/>
      </left>
      <right style="medium">
        <color rgb="FF26C850"/>
      </right>
      <top style="medium">
        <color rgb="FF26C850"/>
      </top>
      <bottom style="thin">
        <color indexed="64"/>
      </bottom>
      <diagonal/>
    </border>
    <border>
      <left style="medium">
        <color rgb="FF26C850"/>
      </left>
      <right/>
      <top style="medium">
        <color rgb="FF26C850"/>
      </top>
      <bottom/>
      <diagonal/>
    </border>
    <border>
      <left style="medium">
        <color rgb="FF26C850"/>
      </left>
      <right/>
      <top/>
      <bottom style="medium">
        <color rgb="FF26C850"/>
      </bottom>
      <diagonal/>
    </border>
    <border>
      <left style="medium">
        <color rgb="FF26C850"/>
      </left>
      <right/>
      <top style="medium">
        <color rgb="FF26C850"/>
      </top>
      <bottom style="thin">
        <color indexed="64"/>
      </bottom>
      <diagonal/>
    </border>
    <border>
      <left style="thin">
        <color indexed="64"/>
      </left>
      <right/>
      <top/>
      <bottom/>
      <diagonal/>
    </border>
    <border>
      <left/>
      <right style="thin">
        <color indexed="64"/>
      </right>
      <top/>
      <bottom/>
      <diagonal/>
    </border>
    <border>
      <left style="medium">
        <color rgb="FFD0D5DD"/>
      </left>
      <right style="medium">
        <color rgb="FFD0D5DD"/>
      </right>
      <top style="medium">
        <color rgb="FFD0D5DD"/>
      </top>
      <bottom style="medium">
        <color rgb="FFD0D5DD"/>
      </bottom>
      <diagonal/>
    </border>
  </borders>
  <cellStyleXfs count="2">
    <xf numFmtId="0" fontId="0" fillId="0" borderId="0"/>
    <xf numFmtId="0" fontId="3" fillId="0" borderId="0" applyNumberFormat="0" applyFill="0" applyBorder="0" applyAlignment="0" applyProtection="0"/>
  </cellStyleXfs>
  <cellXfs count="456">
    <xf numFmtId="0" fontId="0" fillId="0" borderId="0" xfId="0"/>
    <xf numFmtId="0" fontId="4" fillId="2" borderId="1" xfId="0" applyFont="1" applyFill="1" applyBorder="1"/>
    <xf numFmtId="0" fontId="6" fillId="2" borderId="1" xfId="0" applyFont="1" applyFill="1" applyBorder="1" applyAlignment="1">
      <alignment horizontal="center" vertical="center"/>
    </xf>
    <xf numFmtId="0" fontId="4" fillId="2" borderId="0" xfId="0" applyFont="1" applyFill="1"/>
    <xf numFmtId="0" fontId="6" fillId="2" borderId="5" xfId="0" applyFont="1" applyFill="1" applyBorder="1" applyAlignment="1">
      <alignment horizontal="center" vertical="center"/>
    </xf>
    <xf numFmtId="0" fontId="4" fillId="2" borderId="5" xfId="0" applyFont="1" applyFill="1" applyBorder="1"/>
    <xf numFmtId="0" fontId="4" fillId="2" borderId="6" xfId="0" applyFont="1" applyFill="1" applyBorder="1"/>
    <xf numFmtId="0" fontId="4" fillId="2" borderId="10" xfId="0" applyFont="1" applyFill="1" applyBorder="1"/>
    <xf numFmtId="0" fontId="7" fillId="2" borderId="1" xfId="0" applyFont="1" applyFill="1" applyBorder="1" applyAlignment="1">
      <alignment horizontal="center" vertical="center"/>
    </xf>
    <xf numFmtId="0" fontId="4" fillId="2" borderId="16" xfId="0" applyFont="1" applyFill="1" applyBorder="1" applyAlignment="1">
      <alignment horizontal="center" vertical="center"/>
    </xf>
    <xf numFmtId="14" fontId="4" fillId="2" borderId="17" xfId="0" applyNumberFormat="1" applyFont="1" applyFill="1" applyBorder="1" applyAlignment="1">
      <alignment horizontal="center" vertical="center"/>
    </xf>
    <xf numFmtId="0" fontId="4" fillId="2" borderId="17" xfId="0" applyFont="1" applyFill="1" applyBorder="1" applyAlignment="1">
      <alignment horizontal="center" vertical="center"/>
    </xf>
    <xf numFmtId="9" fontId="4" fillId="2" borderId="17" xfId="0" applyNumberFormat="1" applyFont="1" applyFill="1" applyBorder="1" applyAlignment="1">
      <alignment horizontal="center" vertical="center"/>
    </xf>
    <xf numFmtId="9" fontId="4" fillId="2" borderId="16" xfId="0" applyNumberFormat="1" applyFont="1" applyFill="1" applyBorder="1" applyAlignment="1">
      <alignment horizontal="center" vertical="center"/>
    </xf>
    <xf numFmtId="14" fontId="4" fillId="2" borderId="16"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2" borderId="6" xfId="0" applyFont="1" applyFill="1" applyBorder="1" applyAlignment="1">
      <alignment horizontal="center" vertical="center"/>
    </xf>
    <xf numFmtId="9" fontId="4" fillId="2" borderId="10" xfId="0" applyNumberFormat="1" applyFont="1" applyFill="1" applyBorder="1" applyAlignment="1">
      <alignment horizontal="center" vertical="center"/>
    </xf>
    <xf numFmtId="14" fontId="4" fillId="2" borderId="1" xfId="0" applyNumberFormat="1" applyFont="1" applyFill="1" applyBorder="1" applyAlignment="1">
      <alignment horizontal="center" vertical="center"/>
    </xf>
    <xf numFmtId="0" fontId="4" fillId="2" borderId="5" xfId="0" applyFont="1" applyFill="1" applyBorder="1" applyAlignment="1">
      <alignment horizontal="center" vertical="center"/>
    </xf>
    <xf numFmtId="9" fontId="4" fillId="2" borderId="5" xfId="0" applyNumberFormat="1" applyFont="1" applyFill="1" applyBorder="1" applyAlignment="1">
      <alignment horizontal="center" vertical="center"/>
    </xf>
    <xf numFmtId="14" fontId="4" fillId="2" borderId="5" xfId="0" applyNumberFormat="1" applyFont="1" applyFill="1" applyBorder="1" applyAlignment="1">
      <alignment horizontal="center" vertical="center"/>
    </xf>
    <xf numFmtId="0" fontId="5" fillId="2" borderId="10" xfId="0" applyFont="1" applyFill="1" applyBorder="1" applyAlignment="1">
      <alignment horizontal="center" vertical="center"/>
    </xf>
    <xf numFmtId="0" fontId="7" fillId="2" borderId="6" xfId="0" applyFont="1" applyFill="1" applyBorder="1" applyAlignment="1">
      <alignment horizontal="center" vertical="center"/>
    </xf>
    <xf numFmtId="0" fontId="4" fillId="2" borderId="10" xfId="0" applyFont="1" applyFill="1" applyBorder="1" applyAlignment="1">
      <alignment horizontal="center" vertical="center"/>
    </xf>
    <xf numFmtId="0" fontId="5" fillId="2" borderId="1" xfId="0" applyFont="1" applyFill="1" applyBorder="1" applyAlignment="1">
      <alignment horizontal="center"/>
    </xf>
    <xf numFmtId="0" fontId="6" fillId="2" borderId="6" xfId="0" applyFont="1" applyFill="1" applyBorder="1" applyAlignment="1">
      <alignment horizontal="center"/>
    </xf>
    <xf numFmtId="14" fontId="8" fillId="2" borderId="10" xfId="0" applyNumberFormat="1" applyFont="1" applyFill="1" applyBorder="1" applyAlignment="1">
      <alignment horizontal="center"/>
    </xf>
    <xf numFmtId="14" fontId="8" fillId="2" borderId="1" xfId="0" applyNumberFormat="1" applyFont="1" applyFill="1" applyBorder="1" applyAlignment="1">
      <alignment horizontal="center"/>
    </xf>
    <xf numFmtId="1" fontId="6" fillId="2" borderId="1" xfId="0" applyNumberFormat="1" applyFont="1" applyFill="1" applyBorder="1" applyAlignment="1">
      <alignment horizontal="center" vertical="center"/>
    </xf>
    <xf numFmtId="0" fontId="4" fillId="2" borderId="1" xfId="0" applyFont="1" applyFill="1" applyBorder="1" applyAlignment="1">
      <alignment horizontal="center"/>
    </xf>
    <xf numFmtId="165" fontId="4" fillId="2" borderId="16" xfId="0" applyNumberFormat="1" applyFont="1" applyFill="1" applyBorder="1" applyAlignment="1">
      <alignment horizontal="center" vertical="center"/>
    </xf>
    <xf numFmtId="165" fontId="4" fillId="2" borderId="17" xfId="0" applyNumberFormat="1" applyFont="1" applyFill="1" applyBorder="1" applyAlignment="1">
      <alignment horizontal="center" vertical="center"/>
    </xf>
    <xf numFmtId="0" fontId="9" fillId="2" borderId="10"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0" xfId="0" applyFont="1" applyFill="1" applyBorder="1" applyAlignment="1">
      <alignment horizontal="center" vertical="center"/>
    </xf>
    <xf numFmtId="0" fontId="5" fillId="2" borderId="6" xfId="0" applyFont="1" applyFill="1" applyBorder="1" applyAlignment="1">
      <alignment horizontal="right" vertical="center"/>
    </xf>
    <xf numFmtId="0" fontId="8" fillId="2" borderId="10" xfId="0" applyFont="1" applyFill="1" applyBorder="1" applyAlignment="1">
      <alignment horizontal="left" vertical="center"/>
    </xf>
    <xf numFmtId="0" fontId="5" fillId="2" borderId="1" xfId="0" applyFont="1" applyFill="1" applyBorder="1" applyAlignment="1">
      <alignment horizontal="left"/>
    </xf>
    <xf numFmtId="0" fontId="4" fillId="2" borderId="31" xfId="0" applyFont="1" applyFill="1" applyBorder="1"/>
    <xf numFmtId="0" fontId="11" fillId="2" borderId="17" xfId="0" applyFont="1" applyFill="1" applyBorder="1" applyAlignment="1">
      <alignment horizontal="left" vertical="center"/>
    </xf>
    <xf numFmtId="0" fontId="4" fillId="2" borderId="17" xfId="0" applyFont="1" applyFill="1" applyBorder="1"/>
    <xf numFmtId="0" fontId="11" fillId="2" borderId="4" xfId="0" applyFont="1" applyFill="1" applyBorder="1" applyAlignment="1">
      <alignment horizontal="left" vertical="center"/>
    </xf>
    <xf numFmtId="14" fontId="5" fillId="2" borderId="1" xfId="0" applyNumberFormat="1" applyFont="1" applyFill="1" applyBorder="1" applyAlignment="1">
      <alignment horizontal="left" vertical="center"/>
    </xf>
    <xf numFmtId="0" fontId="9" fillId="2" borderId="1" xfId="0" applyFont="1" applyFill="1" applyBorder="1" applyAlignment="1">
      <alignment horizontal="center" vertical="center"/>
    </xf>
    <xf numFmtId="49" fontId="9"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12" fillId="0" borderId="18" xfId="0" applyFont="1" applyBorder="1" applyAlignment="1">
      <alignment horizontal="center" vertical="center"/>
    </xf>
    <xf numFmtId="0" fontId="12" fillId="0" borderId="81" xfId="0" applyFont="1" applyBorder="1" applyAlignment="1">
      <alignment horizontal="center" vertical="center"/>
    </xf>
    <xf numFmtId="0" fontId="12" fillId="0" borderId="82" xfId="0" applyFont="1" applyBorder="1" applyAlignment="1">
      <alignment horizontal="center" vertical="center"/>
    </xf>
    <xf numFmtId="0" fontId="12" fillId="0" borderId="83" xfId="0" applyFont="1" applyBorder="1" applyAlignment="1">
      <alignment horizontal="center" vertical="center"/>
    </xf>
    <xf numFmtId="0" fontId="12" fillId="0" borderId="25" xfId="0" applyFont="1" applyBorder="1" applyAlignment="1">
      <alignment horizontal="center" vertical="center"/>
    </xf>
    <xf numFmtId="0" fontId="12" fillId="0" borderId="30" xfId="0" applyFont="1" applyBorder="1" applyAlignment="1">
      <alignment horizontal="center" vertical="center"/>
    </xf>
    <xf numFmtId="1" fontId="1" fillId="0" borderId="35" xfId="0" applyNumberFormat="1" applyFont="1" applyBorder="1" applyAlignment="1">
      <alignment horizontal="center" vertical="center"/>
    </xf>
    <xf numFmtId="1" fontId="1" fillId="0" borderId="36" xfId="0" applyNumberFormat="1" applyFont="1" applyBorder="1" applyAlignment="1">
      <alignment horizontal="center" vertical="center"/>
    </xf>
    <xf numFmtId="1" fontId="1" fillId="0" borderId="37" xfId="0" applyNumberFormat="1" applyFont="1" applyBorder="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 fillId="0" borderId="14" xfId="0" applyFont="1" applyBorder="1" applyAlignment="1">
      <alignment horizontal="center" vertical="center"/>
    </xf>
    <xf numFmtId="168" fontId="1" fillId="0" borderId="15" xfId="0" applyNumberFormat="1" applyFont="1" applyBorder="1" applyAlignment="1">
      <alignment horizontal="center" vertical="center"/>
    </xf>
    <xf numFmtId="0" fontId="1" fillId="0" borderId="15" xfId="0" applyFont="1" applyBorder="1" applyAlignment="1">
      <alignment horizontal="center" vertical="center"/>
    </xf>
    <xf numFmtId="165" fontId="1" fillId="0" borderId="15" xfId="0" applyNumberFormat="1" applyFont="1" applyBorder="1" applyAlignment="1">
      <alignment horizontal="center" vertical="center"/>
    </xf>
    <xf numFmtId="0" fontId="12" fillId="0" borderId="20" xfId="0" applyFont="1" applyBorder="1" applyAlignment="1">
      <alignment horizontal="center" vertical="center"/>
    </xf>
    <xf numFmtId="165" fontId="1" fillId="0" borderId="21" xfId="0" applyNumberFormat="1" applyFont="1" applyBorder="1" applyAlignment="1">
      <alignment horizontal="center" vertical="center"/>
    </xf>
    <xf numFmtId="165" fontId="1" fillId="0" borderId="24" xfId="0" applyNumberFormat="1" applyFont="1" applyBorder="1" applyAlignment="1">
      <alignment horizontal="center" vertical="center"/>
    </xf>
    <xf numFmtId="164" fontId="1" fillId="0" borderId="27" xfId="0" applyNumberFormat="1" applyFont="1" applyBorder="1" applyAlignment="1">
      <alignment horizontal="center" vertical="center"/>
    </xf>
    <xf numFmtId="164" fontId="1" fillId="0" borderId="1" xfId="0" applyNumberFormat="1" applyFont="1" applyBorder="1" applyAlignment="1">
      <alignment horizontal="center" vertical="center"/>
    </xf>
    <xf numFmtId="164" fontId="1" fillId="0" borderId="28" xfId="0" applyNumberFormat="1" applyFont="1" applyBorder="1" applyAlignment="1">
      <alignment horizontal="center" vertical="center"/>
    </xf>
    <xf numFmtId="0" fontId="1" fillId="0" borderId="21" xfId="0" applyFont="1" applyBorder="1" applyAlignment="1">
      <alignment horizontal="center" vertical="center"/>
    </xf>
    <xf numFmtId="165" fontId="1" fillId="0" borderId="29" xfId="0" applyNumberFormat="1" applyFont="1" applyBorder="1" applyAlignment="1">
      <alignment horizontal="center" vertical="center"/>
    </xf>
    <xf numFmtId="0" fontId="14" fillId="2" borderId="0" xfId="0" applyFont="1" applyFill="1"/>
    <xf numFmtId="0" fontId="15" fillId="3" borderId="1" xfId="0" applyFont="1" applyFill="1" applyBorder="1"/>
    <xf numFmtId="0" fontId="16" fillId="3" borderId="1" xfId="0" applyFont="1" applyFill="1" applyBorder="1" applyAlignment="1">
      <alignment horizontal="center" vertical="center"/>
    </xf>
    <xf numFmtId="0" fontId="17" fillId="3" borderId="1" xfId="0" applyFont="1" applyFill="1" applyBorder="1"/>
    <xf numFmtId="0" fontId="14" fillId="3" borderId="1" xfId="0" applyFont="1" applyFill="1" applyBorder="1"/>
    <xf numFmtId="0" fontId="18" fillId="3" borderId="1" xfId="0" applyFont="1" applyFill="1" applyBorder="1" applyAlignment="1">
      <alignment vertical="center"/>
    </xf>
    <xf numFmtId="0" fontId="17" fillId="3" borderId="1" xfId="0" applyFont="1" applyFill="1" applyBorder="1" applyAlignment="1">
      <alignment horizontal="center"/>
    </xf>
    <xf numFmtId="0" fontId="17" fillId="3" borderId="63" xfId="0" applyFont="1" applyFill="1" applyBorder="1" applyAlignment="1">
      <alignment vertical="center"/>
    </xf>
    <xf numFmtId="0" fontId="14" fillId="2" borderId="63" xfId="0" applyFont="1" applyFill="1" applyBorder="1"/>
    <xf numFmtId="0" fontId="14" fillId="2" borderId="26" xfId="0" applyFont="1" applyFill="1" applyBorder="1"/>
    <xf numFmtId="0" fontId="18" fillId="3" borderId="1" xfId="0" applyFont="1" applyFill="1" applyBorder="1"/>
    <xf numFmtId="0" fontId="14" fillId="3" borderId="10" xfId="0" applyFont="1" applyFill="1" applyBorder="1"/>
    <xf numFmtId="0" fontId="15" fillId="3" borderId="26" xfId="0" applyFont="1" applyFill="1" applyBorder="1"/>
    <xf numFmtId="0" fontId="20" fillId="3" borderId="26" xfId="0" applyFont="1" applyFill="1" applyBorder="1" applyAlignment="1">
      <alignment horizontal="left" vertical="center" wrapText="1"/>
    </xf>
    <xf numFmtId="0" fontId="18" fillId="3" borderId="63" xfId="0" applyFont="1" applyFill="1" applyBorder="1" applyAlignment="1">
      <alignment horizontal="center" vertical="center"/>
    </xf>
    <xf numFmtId="0" fontId="18" fillId="3" borderId="61" xfId="0" applyFont="1" applyFill="1" applyBorder="1" applyAlignment="1">
      <alignment horizontal="center" vertical="center"/>
    </xf>
    <xf numFmtId="0" fontId="14" fillId="3" borderId="63" xfId="0" applyFont="1" applyFill="1" applyBorder="1"/>
    <xf numFmtId="0" fontId="14" fillId="3" borderId="58" xfId="0" applyFont="1" applyFill="1" applyBorder="1"/>
    <xf numFmtId="0" fontId="18" fillId="3" borderId="1" xfId="0" applyFont="1" applyFill="1" applyBorder="1" applyAlignment="1">
      <alignment horizontal="center" vertical="center"/>
    </xf>
    <xf numFmtId="0" fontId="14" fillId="3" borderId="16" xfId="0" applyFont="1" applyFill="1" applyBorder="1"/>
    <xf numFmtId="166" fontId="18" fillId="3" borderId="1" xfId="0" applyNumberFormat="1" applyFont="1" applyFill="1" applyBorder="1" applyAlignment="1">
      <alignment horizontal="center" vertical="center" wrapText="1"/>
    </xf>
    <xf numFmtId="16" fontId="18" fillId="3" borderId="1"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167" fontId="19" fillId="3" borderId="1" xfId="0" applyNumberFormat="1" applyFont="1" applyFill="1" applyBorder="1" applyAlignment="1">
      <alignment horizontal="center" vertical="center" wrapText="1"/>
    </xf>
    <xf numFmtId="0" fontId="19" fillId="3" borderId="1" xfId="0" applyFont="1" applyFill="1" applyBorder="1" applyAlignment="1">
      <alignment horizontal="left" vertical="center" wrapText="1"/>
    </xf>
    <xf numFmtId="0" fontId="20" fillId="3" borderId="1" xfId="0" applyFont="1" applyFill="1" applyBorder="1" applyAlignment="1">
      <alignment horizontal="center" vertical="center" wrapText="1"/>
    </xf>
    <xf numFmtId="1" fontId="20" fillId="3" borderId="1" xfId="0" applyNumberFormat="1" applyFont="1" applyFill="1" applyBorder="1" applyAlignment="1">
      <alignment horizontal="center" vertical="center" wrapText="1"/>
    </xf>
    <xf numFmtId="0" fontId="20" fillId="3" borderId="1" xfId="0" applyFont="1" applyFill="1" applyBorder="1" applyAlignment="1">
      <alignment horizontal="left" vertical="center"/>
    </xf>
    <xf numFmtId="2" fontId="20" fillId="3" borderId="1" xfId="0" applyNumberFormat="1" applyFont="1" applyFill="1" applyBorder="1" applyAlignment="1">
      <alignment horizontal="center" vertical="center" wrapText="1"/>
    </xf>
    <xf numFmtId="0" fontId="21" fillId="0" borderId="86" xfId="0" applyFont="1" applyBorder="1" applyAlignment="1">
      <alignment horizontal="center" vertical="center" wrapText="1"/>
    </xf>
    <xf numFmtId="0" fontId="21" fillId="0" borderId="107" xfId="0" applyFont="1" applyBorder="1" applyAlignment="1">
      <alignment horizontal="center" vertical="center" wrapText="1"/>
    </xf>
    <xf numFmtId="0" fontId="21" fillId="0" borderId="60" xfId="0" applyFont="1" applyBorder="1" applyAlignment="1">
      <alignment horizontal="center" vertical="center" wrapText="1"/>
    </xf>
    <xf numFmtId="2" fontId="21" fillId="0" borderId="60" xfId="0" applyNumberFormat="1" applyFont="1" applyBorder="1" applyAlignment="1">
      <alignment horizontal="center" vertical="center" wrapText="1"/>
    </xf>
    <xf numFmtId="166" fontId="21" fillId="0" borderId="98" xfId="0" applyNumberFormat="1" applyFont="1" applyBorder="1" applyAlignment="1">
      <alignment horizontal="center" vertical="center" wrapText="1"/>
    </xf>
    <xf numFmtId="16" fontId="21" fillId="0" borderId="99" xfId="0" applyNumberFormat="1" applyFont="1" applyBorder="1" applyAlignment="1">
      <alignment horizontal="center" vertical="center"/>
    </xf>
    <xf numFmtId="0" fontId="22" fillId="0" borderId="99" xfId="0" applyFont="1" applyBorder="1" applyAlignment="1">
      <alignment horizontal="center" vertical="center" wrapText="1"/>
    </xf>
    <xf numFmtId="167" fontId="22" fillId="0" borderId="99" xfId="0" applyNumberFormat="1" applyFont="1" applyBorder="1" applyAlignment="1">
      <alignment horizontal="center" vertical="center" wrapText="1"/>
    </xf>
    <xf numFmtId="1" fontId="22" fillId="0" borderId="99" xfId="0" applyNumberFormat="1" applyFont="1" applyBorder="1" applyAlignment="1">
      <alignment horizontal="center" vertical="center" wrapText="1"/>
    </xf>
    <xf numFmtId="166" fontId="21" fillId="0" borderId="101" xfId="0" applyNumberFormat="1" applyFont="1" applyBorder="1" applyAlignment="1">
      <alignment horizontal="center" vertical="center" wrapText="1"/>
    </xf>
    <xf numFmtId="16" fontId="21" fillId="0" borderId="13" xfId="0" applyNumberFormat="1" applyFont="1" applyBorder="1" applyAlignment="1">
      <alignment horizontal="center" vertical="center"/>
    </xf>
    <xf numFmtId="0" fontId="22" fillId="0" borderId="13" xfId="0" applyFont="1" applyBorder="1" applyAlignment="1">
      <alignment horizontal="center" vertical="center" wrapText="1"/>
    </xf>
    <xf numFmtId="20" fontId="22" fillId="0" borderId="13" xfId="0" applyNumberFormat="1" applyFont="1" applyBorder="1" applyAlignment="1">
      <alignment horizontal="center" vertical="center" wrapText="1"/>
    </xf>
    <xf numFmtId="1" fontId="22" fillId="0" borderId="13" xfId="0" applyNumberFormat="1" applyFont="1" applyBorder="1" applyAlignment="1">
      <alignment horizontal="center" vertical="center" wrapText="1"/>
    </xf>
    <xf numFmtId="166" fontId="21" fillId="0" borderId="103" xfId="0" applyNumberFormat="1" applyFont="1" applyBorder="1" applyAlignment="1">
      <alignment horizontal="center" vertical="center" wrapText="1"/>
    </xf>
    <xf numFmtId="16" fontId="21" fillId="0" borderId="104" xfId="0" applyNumberFormat="1" applyFont="1" applyBorder="1" applyAlignment="1">
      <alignment horizontal="center" vertical="center"/>
    </xf>
    <xf numFmtId="0" fontId="22" fillId="0" borderId="104" xfId="0" applyFont="1" applyBorder="1" applyAlignment="1">
      <alignment horizontal="center" vertical="center" wrapText="1"/>
    </xf>
    <xf numFmtId="20" fontId="22" fillId="0" borderId="104" xfId="0" applyNumberFormat="1" applyFont="1" applyBorder="1" applyAlignment="1">
      <alignment horizontal="center" vertical="center" wrapText="1"/>
    </xf>
    <xf numFmtId="1" fontId="22" fillId="0" borderId="104" xfId="0" applyNumberFormat="1" applyFont="1" applyBorder="1" applyAlignment="1">
      <alignment horizontal="center" vertical="center" wrapText="1"/>
    </xf>
    <xf numFmtId="0" fontId="15" fillId="3" borderId="63" xfId="0" applyFont="1" applyFill="1" applyBorder="1"/>
    <xf numFmtId="0" fontId="16" fillId="3" borderId="63" xfId="0" applyFont="1" applyFill="1" applyBorder="1" applyAlignment="1">
      <alignment horizontal="center" vertical="center"/>
    </xf>
    <xf numFmtId="0" fontId="17" fillId="3" borderId="63" xfId="0" applyFont="1" applyFill="1" applyBorder="1"/>
    <xf numFmtId="0" fontId="17" fillId="3" borderId="63" xfId="0" applyFont="1" applyFill="1" applyBorder="1" applyAlignment="1">
      <alignment horizontal="center"/>
    </xf>
    <xf numFmtId="0" fontId="18" fillId="3" borderId="63" xfId="0" applyFont="1" applyFill="1" applyBorder="1"/>
    <xf numFmtId="0" fontId="23" fillId="3" borderId="63" xfId="0" applyFont="1" applyFill="1" applyBorder="1" applyAlignment="1">
      <alignment horizontal="center" vertical="top"/>
    </xf>
    <xf numFmtId="0" fontId="14" fillId="3" borderId="57" xfId="0" applyFont="1" applyFill="1" applyBorder="1"/>
    <xf numFmtId="0" fontId="23" fillId="2" borderId="76" xfId="0" applyFont="1" applyFill="1" applyBorder="1" applyAlignment="1">
      <alignment horizontal="left" wrapText="1"/>
    </xf>
    <xf numFmtId="0" fontId="20" fillId="3" borderId="63" xfId="0" applyFont="1" applyFill="1" applyBorder="1" applyAlignment="1">
      <alignment horizontal="center" vertical="center" wrapText="1"/>
    </xf>
    <xf numFmtId="1" fontId="18" fillId="2" borderId="47" xfId="0" applyNumberFormat="1" applyFont="1" applyFill="1" applyBorder="1" applyAlignment="1">
      <alignment vertical="top" wrapText="1"/>
    </xf>
    <xf numFmtId="1" fontId="23" fillId="2" borderId="65" xfId="0" applyNumberFormat="1" applyFont="1" applyFill="1" applyBorder="1" applyAlignment="1">
      <alignment horizontal="left" wrapText="1"/>
    </xf>
    <xf numFmtId="1" fontId="20" fillId="3" borderId="63" xfId="0" applyNumberFormat="1" applyFont="1" applyFill="1" applyBorder="1" applyAlignment="1">
      <alignment horizontal="center" vertical="center" wrapText="1"/>
    </xf>
    <xf numFmtId="1" fontId="18" fillId="2" borderId="47" xfId="0" applyNumberFormat="1" applyFont="1" applyFill="1" applyBorder="1" applyAlignment="1">
      <alignment horizontal="left" vertical="top" wrapText="1"/>
    </xf>
    <xf numFmtId="0" fontId="20" fillId="3" borderId="63" xfId="0" applyFont="1" applyFill="1" applyBorder="1" applyAlignment="1">
      <alignment horizontal="left" vertical="center" wrapText="1"/>
    </xf>
    <xf numFmtId="0" fontId="18" fillId="2" borderId="47" xfId="0" applyFont="1" applyFill="1" applyBorder="1" applyAlignment="1">
      <alignment horizontal="left" vertical="top"/>
    </xf>
    <xf numFmtId="0" fontId="23" fillId="2" borderId="65" xfId="0" applyFont="1" applyFill="1" applyBorder="1"/>
    <xf numFmtId="0" fontId="23" fillId="2" borderId="65" xfId="0" applyFont="1" applyFill="1" applyBorder="1" applyAlignment="1">
      <alignment horizontal="left"/>
    </xf>
    <xf numFmtId="0" fontId="23" fillId="2" borderId="65" xfId="0" applyFont="1" applyFill="1" applyBorder="1" applyAlignment="1">
      <alignment horizontal="left" wrapText="1"/>
    </xf>
    <xf numFmtId="0" fontId="14" fillId="3" borderId="61" xfId="0" applyFont="1" applyFill="1" applyBorder="1"/>
    <xf numFmtId="0" fontId="15" fillId="3" borderId="63" xfId="0" applyFont="1" applyFill="1" applyBorder="1" applyAlignment="1">
      <alignment wrapText="1"/>
    </xf>
    <xf numFmtId="0" fontId="14" fillId="3" borderId="95" xfId="0" applyFont="1" applyFill="1" applyBorder="1"/>
    <xf numFmtId="0" fontId="20" fillId="3" borderId="63" xfId="0" applyFont="1" applyFill="1" applyBorder="1" applyAlignment="1">
      <alignment horizontal="left" vertical="center"/>
    </xf>
    <xf numFmtId="0" fontId="24" fillId="3" borderId="1" xfId="0" applyFont="1" applyFill="1" applyBorder="1"/>
    <xf numFmtId="0" fontId="25" fillId="3" borderId="1" xfId="0" applyFont="1" applyFill="1" applyBorder="1"/>
    <xf numFmtId="0" fontId="26" fillId="3" borderId="1" xfId="0" applyFont="1" applyFill="1" applyBorder="1" applyAlignment="1">
      <alignment horizontal="center" vertical="center"/>
    </xf>
    <xf numFmtId="0" fontId="27" fillId="3" borderId="1" xfId="0" applyFont="1" applyFill="1" applyBorder="1" applyAlignment="1">
      <alignment vertical="center"/>
    </xf>
    <xf numFmtId="0" fontId="26" fillId="3" borderId="1" xfId="0" applyFont="1" applyFill="1" applyBorder="1" applyAlignment="1">
      <alignment vertical="center"/>
    </xf>
    <xf numFmtId="0" fontId="24" fillId="3" borderId="1" xfId="0" applyFont="1" applyFill="1" applyBorder="1" applyAlignment="1">
      <alignment horizontal="center" vertical="center"/>
    </xf>
    <xf numFmtId="0" fontId="24" fillId="3" borderId="1" xfId="0" applyFont="1" applyFill="1" applyBorder="1" applyAlignment="1">
      <alignment horizontal="left" vertical="center"/>
    </xf>
    <xf numFmtId="0" fontId="25" fillId="3" borderId="1" xfId="0" applyFont="1" applyFill="1" applyBorder="1" applyAlignment="1">
      <alignment horizontal="center" vertical="center"/>
    </xf>
    <xf numFmtId="0" fontId="25" fillId="3" borderId="1" xfId="0" applyFont="1" applyFill="1" applyBorder="1" applyAlignment="1">
      <alignment horizontal="left"/>
    </xf>
    <xf numFmtId="0" fontId="24" fillId="3" borderId="5" xfId="0" applyFont="1" applyFill="1" applyBorder="1"/>
    <xf numFmtId="0" fontId="24" fillId="3" borderId="6" xfId="0" applyFont="1" applyFill="1" applyBorder="1"/>
    <xf numFmtId="3" fontId="24" fillId="3" borderId="1" xfId="0" applyNumberFormat="1" applyFont="1" applyFill="1" applyBorder="1" applyAlignment="1">
      <alignment horizontal="center" vertical="center"/>
    </xf>
    <xf numFmtId="0" fontId="24" fillId="3" borderId="63" xfId="0" applyFont="1" applyFill="1" applyBorder="1"/>
    <xf numFmtId="0" fontId="24" fillId="2" borderId="65" xfId="0" applyFont="1" applyFill="1" applyBorder="1" applyAlignment="1">
      <alignment horizontal="center" vertical="center"/>
    </xf>
    <xf numFmtId="0" fontId="30" fillId="2" borderId="65" xfId="0" applyFont="1" applyFill="1" applyBorder="1" applyAlignment="1">
      <alignment horizontal="center" vertical="center"/>
    </xf>
    <xf numFmtId="0" fontId="24" fillId="3" borderId="63" xfId="0" applyFont="1" applyFill="1" applyBorder="1" applyAlignment="1">
      <alignment horizontal="center" vertical="center"/>
    </xf>
    <xf numFmtId="3" fontId="24" fillId="3" borderId="63" xfId="0" applyNumberFormat="1" applyFont="1" applyFill="1" applyBorder="1" applyAlignment="1">
      <alignment horizontal="center" vertical="center"/>
    </xf>
    <xf numFmtId="0" fontId="24" fillId="2" borderId="47" xfId="0" applyFont="1" applyFill="1" applyBorder="1" applyAlignment="1">
      <alignment horizontal="center"/>
    </xf>
    <xf numFmtId="0" fontId="24" fillId="2" borderId="47" xfId="0" applyFont="1" applyFill="1" applyBorder="1" applyAlignment="1">
      <alignment horizontal="center" vertical="center"/>
    </xf>
    <xf numFmtId="0" fontId="30" fillId="2" borderId="47" xfId="0" applyFont="1" applyFill="1" applyBorder="1" applyAlignment="1">
      <alignment horizontal="center" vertical="center"/>
    </xf>
    <xf numFmtId="0" fontId="25" fillId="3" borderId="63" xfId="0" applyFont="1" applyFill="1" applyBorder="1" applyAlignment="1">
      <alignment horizontal="left"/>
    </xf>
    <xf numFmtId="0" fontId="24" fillId="3" borderId="16" xfId="0" applyFont="1" applyFill="1" applyBorder="1"/>
    <xf numFmtId="0" fontId="24" fillId="2" borderId="80" xfId="0" applyFont="1" applyFill="1" applyBorder="1" applyAlignment="1">
      <alignment horizontal="center" vertical="center"/>
    </xf>
    <xf numFmtId="0" fontId="29" fillId="2" borderId="80" xfId="0" applyFont="1" applyFill="1" applyBorder="1" applyAlignment="1">
      <alignment horizontal="center" vertical="center"/>
    </xf>
    <xf numFmtId="0" fontId="24" fillId="2" borderId="35" xfId="0" applyFont="1" applyFill="1" applyBorder="1" applyAlignment="1">
      <alignment horizontal="center" vertical="center"/>
    </xf>
    <xf numFmtId="0" fontId="31" fillId="3" borderId="1" xfId="0" applyFont="1" applyFill="1" applyBorder="1" applyAlignment="1">
      <alignment horizontal="left" vertical="center"/>
    </xf>
    <xf numFmtId="0" fontId="21" fillId="0" borderId="46" xfId="0" applyFont="1" applyBorder="1" applyAlignment="1">
      <alignment horizontal="center" vertical="center" wrapText="1"/>
    </xf>
    <xf numFmtId="2" fontId="21" fillId="0" borderId="46" xfId="0" applyNumberFormat="1" applyFont="1" applyBorder="1" applyAlignment="1">
      <alignment horizontal="center" vertical="center" wrapText="1"/>
    </xf>
    <xf numFmtId="0" fontId="21" fillId="0" borderId="63" xfId="0" applyFont="1" applyBorder="1" applyAlignment="1">
      <alignment horizontal="center" vertical="center" wrapText="1"/>
    </xf>
    <xf numFmtId="0" fontId="21" fillId="2" borderId="63" xfId="0" applyFont="1" applyFill="1" applyBorder="1" applyAlignment="1">
      <alignment horizontal="center" vertical="center"/>
    </xf>
    <xf numFmtId="0" fontId="21" fillId="0" borderId="39" xfId="0" applyFont="1" applyBorder="1" applyAlignment="1">
      <alignment horizontal="center" vertical="center"/>
    </xf>
    <xf numFmtId="0" fontId="32" fillId="0" borderId="39" xfId="0" applyFont="1" applyBorder="1" applyAlignment="1">
      <alignment horizontal="center" vertical="center" wrapText="1"/>
    </xf>
    <xf numFmtId="166" fontId="21" fillId="0" borderId="43" xfId="0" applyNumberFormat="1" applyFont="1" applyBorder="1" applyAlignment="1">
      <alignment horizontal="center" vertical="center" wrapText="1"/>
    </xf>
    <xf numFmtId="16" fontId="21" fillId="0" borderId="42" xfId="0" applyNumberFormat="1" applyFont="1" applyBorder="1" applyAlignment="1">
      <alignment horizontal="center" vertical="center"/>
    </xf>
    <xf numFmtId="0" fontId="22" fillId="0" borderId="43" xfId="0" applyFont="1" applyBorder="1" applyAlignment="1">
      <alignment horizontal="center" vertical="center" wrapText="1"/>
    </xf>
    <xf numFmtId="167" fontId="22" fillId="0" borderId="44" xfId="0" applyNumberFormat="1" applyFont="1" applyBorder="1" applyAlignment="1">
      <alignment horizontal="center" vertical="center" wrapText="1"/>
    </xf>
    <xf numFmtId="0" fontId="22" fillId="0" borderId="44" xfId="0" applyFont="1" applyBorder="1" applyAlignment="1">
      <alignment horizontal="center" vertical="center" wrapText="1"/>
    </xf>
    <xf numFmtId="1" fontId="22" fillId="0" borderId="44" xfId="0" applyNumberFormat="1" applyFont="1" applyBorder="1" applyAlignment="1">
      <alignment horizontal="center" vertical="center" wrapText="1"/>
    </xf>
    <xf numFmtId="0" fontId="22" fillId="0" borderId="45" xfId="0" applyFont="1" applyBorder="1" applyAlignment="1">
      <alignment horizontal="left" vertical="center" wrapText="1"/>
    </xf>
    <xf numFmtId="0" fontId="32" fillId="0" borderId="46" xfId="0" applyFont="1" applyBorder="1" applyAlignment="1">
      <alignment horizontal="center" vertical="center"/>
    </xf>
    <xf numFmtId="166" fontId="21" fillId="0" borderId="48" xfId="0" applyNumberFormat="1" applyFont="1" applyBorder="1" applyAlignment="1">
      <alignment horizontal="center" vertical="center" wrapText="1"/>
    </xf>
    <xf numFmtId="16" fontId="21" fillId="0" borderId="49" xfId="0" applyNumberFormat="1" applyFont="1" applyBorder="1" applyAlignment="1">
      <alignment horizontal="center" vertical="center"/>
    </xf>
    <xf numFmtId="0" fontId="22" fillId="0" borderId="48" xfId="0" applyFont="1" applyBorder="1" applyAlignment="1">
      <alignment horizontal="center" vertical="center" wrapText="1"/>
    </xf>
    <xf numFmtId="20" fontId="22" fillId="0" borderId="50" xfId="0" applyNumberFormat="1" applyFont="1" applyBorder="1" applyAlignment="1">
      <alignment horizontal="center" vertical="center" wrapText="1"/>
    </xf>
    <xf numFmtId="0" fontId="22" fillId="0" borderId="50" xfId="0" applyFont="1" applyBorder="1" applyAlignment="1">
      <alignment horizontal="center" vertical="center" wrapText="1"/>
    </xf>
    <xf numFmtId="0" fontId="22" fillId="0" borderId="51" xfId="0" applyFont="1" applyBorder="1" applyAlignment="1">
      <alignment horizontal="left" vertical="center" wrapText="1"/>
    </xf>
    <xf numFmtId="1" fontId="32" fillId="0" borderId="46" xfId="0" applyNumberFormat="1" applyFont="1" applyBorder="1" applyAlignment="1">
      <alignment horizontal="center" vertical="center" wrapText="1"/>
    </xf>
    <xf numFmtId="2" fontId="32" fillId="0" borderId="46" xfId="0" applyNumberFormat="1" applyFont="1" applyBorder="1" applyAlignment="1">
      <alignment horizontal="center" vertical="center" wrapText="1"/>
    </xf>
    <xf numFmtId="166" fontId="21" fillId="0" borderId="52" xfId="0" applyNumberFormat="1" applyFont="1" applyBorder="1" applyAlignment="1">
      <alignment horizontal="center" vertical="center" wrapText="1"/>
    </xf>
    <xf numFmtId="16" fontId="21" fillId="0" borderId="53" xfId="0" applyNumberFormat="1" applyFont="1" applyBorder="1" applyAlignment="1">
      <alignment horizontal="center" vertical="center"/>
    </xf>
    <xf numFmtId="0" fontId="22" fillId="0" borderId="52" xfId="0" applyFont="1" applyBorder="1" applyAlignment="1">
      <alignment horizontal="center" vertical="center" wrapText="1"/>
    </xf>
    <xf numFmtId="20" fontId="22" fillId="0" borderId="54" xfId="0" applyNumberFormat="1" applyFont="1" applyBorder="1" applyAlignment="1">
      <alignment horizontal="center" vertical="center" wrapText="1"/>
    </xf>
    <xf numFmtId="0" fontId="22" fillId="0" borderId="54" xfId="0" applyFont="1" applyBorder="1" applyAlignment="1">
      <alignment horizontal="center" vertical="center" wrapText="1"/>
    </xf>
    <xf numFmtId="1" fontId="22" fillId="0" borderId="47" xfId="0" applyNumberFormat="1" applyFont="1" applyBorder="1" applyAlignment="1">
      <alignment horizontal="center" vertical="center" wrapText="1"/>
    </xf>
    <xf numFmtId="0" fontId="22" fillId="0" borderId="47" xfId="0" applyFont="1" applyBorder="1" applyAlignment="1">
      <alignment horizontal="center" vertical="center" wrapText="1"/>
    </xf>
    <xf numFmtId="0" fontId="22" fillId="0" borderId="55" xfId="0" applyFont="1" applyBorder="1" applyAlignment="1">
      <alignment horizontal="left" vertical="center" wrapText="1"/>
    </xf>
    <xf numFmtId="10" fontId="32" fillId="0" borderId="46" xfId="0" applyNumberFormat="1" applyFont="1" applyBorder="1" applyAlignment="1">
      <alignment horizontal="center" vertical="center" wrapText="1"/>
    </xf>
    <xf numFmtId="16" fontId="21" fillId="0" borderId="92" xfId="0" applyNumberFormat="1" applyFont="1" applyBorder="1" applyAlignment="1">
      <alignment horizontal="center" vertical="center"/>
    </xf>
    <xf numFmtId="166" fontId="21" fillId="0" borderId="91" xfId="0" applyNumberFormat="1" applyFont="1" applyBorder="1" applyAlignment="1">
      <alignment horizontal="center" vertical="center" wrapText="1"/>
    </xf>
    <xf numFmtId="0" fontId="22" fillId="0" borderId="91" xfId="0" applyFont="1" applyBorder="1" applyAlignment="1">
      <alignment horizontal="center" vertical="center" wrapText="1"/>
    </xf>
    <xf numFmtId="20" fontId="22" fillId="0" borderId="93" xfId="0" applyNumberFormat="1" applyFont="1" applyBorder="1" applyAlignment="1">
      <alignment horizontal="center" vertical="center" wrapText="1"/>
    </xf>
    <xf numFmtId="0" fontId="22" fillId="0" borderId="93" xfId="0" applyFont="1" applyBorder="1" applyAlignment="1">
      <alignment horizontal="center" vertical="center" wrapText="1"/>
    </xf>
    <xf numFmtId="1" fontId="22" fillId="0" borderId="93" xfId="0" applyNumberFormat="1" applyFont="1" applyBorder="1" applyAlignment="1">
      <alignment horizontal="center" vertical="center" wrapText="1"/>
    </xf>
    <xf numFmtId="0" fontId="22" fillId="0" borderId="94" xfId="0" applyFont="1" applyBorder="1" applyAlignment="1">
      <alignment horizontal="left" vertical="center" wrapText="1"/>
    </xf>
    <xf numFmtId="0" fontId="21" fillId="3" borderId="56" xfId="0" applyFont="1" applyFill="1" applyBorder="1" applyAlignment="1">
      <alignment horizontal="center" vertical="center"/>
    </xf>
    <xf numFmtId="0" fontId="21" fillId="3" borderId="57" xfId="0" applyFont="1" applyFill="1" applyBorder="1" applyAlignment="1">
      <alignment horizontal="center" vertical="center"/>
    </xf>
    <xf numFmtId="0" fontId="21" fillId="3" borderId="0" xfId="0" applyFont="1" applyFill="1" applyAlignment="1">
      <alignment horizontal="center" vertical="center"/>
    </xf>
    <xf numFmtId="0" fontId="1" fillId="3" borderId="0" xfId="0" applyFont="1" applyFill="1"/>
    <xf numFmtId="0" fontId="21" fillId="0" borderId="60" xfId="0" applyFont="1" applyBorder="1" applyAlignment="1">
      <alignment horizontal="center" vertical="center"/>
    </xf>
    <xf numFmtId="0" fontId="32" fillId="0" borderId="46" xfId="0" applyFont="1" applyBorder="1" applyAlignment="1">
      <alignment horizontal="center" vertical="center" wrapText="1"/>
    </xf>
    <xf numFmtId="20" fontId="22" fillId="0" borderId="44" xfId="0" applyNumberFormat="1" applyFont="1" applyBorder="1" applyAlignment="1">
      <alignment horizontal="center" vertical="center" wrapText="1"/>
    </xf>
    <xf numFmtId="0" fontId="22" fillId="0" borderId="64" xfId="0" applyFont="1" applyBorder="1" applyAlignment="1">
      <alignment horizontal="left" vertical="center" wrapText="1"/>
    </xf>
    <xf numFmtId="0" fontId="22" fillId="0" borderId="65" xfId="0" applyFont="1" applyBorder="1" applyAlignment="1">
      <alignment horizontal="center" vertical="center" wrapText="1"/>
    </xf>
    <xf numFmtId="0" fontId="22" fillId="0" borderId="66" xfId="0" applyFont="1" applyBorder="1" applyAlignment="1">
      <alignment horizontal="center" vertical="center" wrapText="1"/>
    </xf>
    <xf numFmtId="0" fontId="32" fillId="0" borderId="67" xfId="0" applyFont="1" applyBorder="1" applyAlignment="1">
      <alignment horizontal="center" vertical="center"/>
    </xf>
    <xf numFmtId="0" fontId="22" fillId="0" borderId="68" xfId="0" applyFont="1" applyBorder="1" applyAlignment="1">
      <alignment horizontal="center" vertical="center" wrapText="1"/>
    </xf>
    <xf numFmtId="1" fontId="32" fillId="0" borderId="67" xfId="0" applyNumberFormat="1" applyFont="1" applyBorder="1" applyAlignment="1">
      <alignment horizontal="center" vertical="center" wrapText="1"/>
    </xf>
    <xf numFmtId="2" fontId="32" fillId="0" borderId="67" xfId="0" applyNumberFormat="1" applyFont="1" applyBorder="1" applyAlignment="1">
      <alignment horizontal="center" vertical="center" wrapText="1"/>
    </xf>
    <xf numFmtId="0" fontId="22" fillId="0" borderId="96" xfId="0" applyFont="1" applyBorder="1" applyAlignment="1">
      <alignment horizontal="center" vertical="center" wrapText="1"/>
    </xf>
    <xf numFmtId="0" fontId="21" fillId="3" borderId="41" xfId="0" applyFont="1" applyFill="1" applyBorder="1" applyAlignment="1">
      <alignment horizontal="center" vertical="center"/>
    </xf>
    <xf numFmtId="0" fontId="22" fillId="0" borderId="69" xfId="0" applyFont="1" applyBorder="1" applyAlignment="1">
      <alignment horizontal="center" vertical="center" wrapText="1"/>
    </xf>
    <xf numFmtId="167" fontId="22" fillId="0" borderId="93" xfId="0" applyNumberFormat="1" applyFont="1" applyBorder="1" applyAlignment="1">
      <alignment horizontal="center" vertical="center" wrapText="1"/>
    </xf>
    <xf numFmtId="0" fontId="22" fillId="0" borderId="70" xfId="0" applyFont="1" applyBorder="1" applyAlignment="1">
      <alignment horizontal="center" vertical="center" wrapText="1"/>
    </xf>
    <xf numFmtId="0" fontId="22" fillId="0" borderId="71" xfId="0" applyFont="1" applyBorder="1" applyAlignment="1">
      <alignment horizontal="center" vertical="center" wrapText="1"/>
    </xf>
    <xf numFmtId="0" fontId="22" fillId="0" borderId="72" xfId="0" applyFont="1" applyBorder="1" applyAlignment="1">
      <alignment horizontal="center" vertical="center" wrapText="1"/>
    </xf>
    <xf numFmtId="0" fontId="22" fillId="0" borderId="97" xfId="0" applyFont="1" applyBorder="1" applyAlignment="1">
      <alignment horizontal="center" vertical="center" wrapText="1"/>
    </xf>
    <xf numFmtId="167" fontId="22" fillId="0" borderId="50" xfId="0" applyNumberFormat="1" applyFont="1" applyBorder="1" applyAlignment="1">
      <alignment horizontal="center" vertical="center" wrapText="1"/>
    </xf>
    <xf numFmtId="0" fontId="22" fillId="0" borderId="73" xfId="0" applyFont="1" applyBorder="1" applyAlignment="1">
      <alignment horizontal="center" vertical="center" wrapText="1"/>
    </xf>
    <xf numFmtId="0" fontId="33" fillId="3" borderId="1" xfId="0" applyFont="1" applyFill="1" applyBorder="1"/>
    <xf numFmtId="0" fontId="2" fillId="0" borderId="13" xfId="0" applyFont="1" applyBorder="1" applyAlignment="1">
      <alignment horizontal="center" vertical="center"/>
    </xf>
    <xf numFmtId="0" fontId="2" fillId="0" borderId="76" xfId="0" applyFont="1" applyBorder="1" applyAlignment="1">
      <alignment horizontal="center" vertical="center"/>
    </xf>
    <xf numFmtId="0" fontId="33" fillId="0" borderId="78" xfId="0" applyFont="1" applyBorder="1" applyAlignment="1">
      <alignment horizontal="center"/>
    </xf>
    <xf numFmtId="0" fontId="34" fillId="0" borderId="76" xfId="1" applyFont="1" applyFill="1" applyBorder="1" applyAlignment="1">
      <alignment horizontal="center" vertical="center"/>
    </xf>
    <xf numFmtId="0" fontId="33" fillId="0" borderId="76" xfId="0" applyFont="1" applyBorder="1" applyAlignment="1">
      <alignment horizontal="center" vertical="center"/>
    </xf>
    <xf numFmtId="0" fontId="35" fillId="0" borderId="76" xfId="0" applyFont="1" applyBorder="1" applyAlignment="1">
      <alignment horizontal="center" vertical="center"/>
    </xf>
    <xf numFmtId="0" fontId="33" fillId="0" borderId="11" xfId="0" applyFont="1" applyBorder="1" applyAlignment="1">
      <alignment horizontal="center" vertical="center"/>
    </xf>
    <xf numFmtId="0" fontId="34" fillId="0" borderId="65" xfId="1" applyFont="1" applyFill="1" applyBorder="1" applyAlignment="1">
      <alignment horizontal="center" vertical="center"/>
    </xf>
    <xf numFmtId="0" fontId="33" fillId="0" borderId="65" xfId="0" applyFont="1" applyBorder="1" applyAlignment="1">
      <alignment horizontal="center" vertical="center" wrapText="1"/>
    </xf>
    <xf numFmtId="0" fontId="35" fillId="0" borderId="11" xfId="0" applyFont="1" applyBorder="1" applyAlignment="1">
      <alignment horizontal="center" vertical="center"/>
    </xf>
    <xf numFmtId="0" fontId="33" fillId="0" borderId="11" xfId="0" applyFont="1" applyBorder="1" applyAlignment="1">
      <alignment horizontal="center"/>
    </xf>
    <xf numFmtId="0" fontId="33" fillId="0" borderId="65" xfId="0" applyFont="1" applyBorder="1" applyAlignment="1">
      <alignment horizontal="center"/>
    </xf>
    <xf numFmtId="0" fontId="33" fillId="0" borderId="65" xfId="0" applyFont="1" applyBorder="1" applyAlignment="1">
      <alignment horizontal="center" vertical="center"/>
    </xf>
    <xf numFmtId="0" fontId="35" fillId="0" borderId="65" xfId="0" applyFont="1" applyBorder="1" applyAlignment="1">
      <alignment horizontal="center" vertical="center"/>
    </xf>
    <xf numFmtId="0" fontId="34" fillId="0" borderId="0" xfId="1" applyFont="1" applyFill="1" applyAlignment="1">
      <alignment horizontal="center" vertical="center"/>
    </xf>
    <xf numFmtId="0" fontId="34" fillId="0" borderId="80" xfId="1" applyFont="1" applyFill="1" applyBorder="1" applyAlignment="1">
      <alignment horizontal="center" vertical="center"/>
    </xf>
    <xf numFmtId="0" fontId="34" fillId="0" borderId="0" xfId="0" applyFont="1" applyAlignment="1">
      <alignment horizontal="center" vertical="center"/>
    </xf>
    <xf numFmtId="0" fontId="33" fillId="2" borderId="47" xfId="0" applyFont="1" applyFill="1" applyBorder="1" applyAlignment="1">
      <alignment horizontal="center"/>
    </xf>
    <xf numFmtId="0" fontId="33" fillId="2" borderId="47" xfId="0" applyFont="1" applyFill="1" applyBorder="1" applyAlignment="1">
      <alignment horizontal="center" vertical="center"/>
    </xf>
    <xf numFmtId="0" fontId="35" fillId="2" borderId="47" xfId="0" applyFont="1" applyFill="1" applyBorder="1" applyAlignment="1">
      <alignment horizontal="center" vertical="center"/>
    </xf>
    <xf numFmtId="0" fontId="2" fillId="3" borderId="63" xfId="0" applyFont="1" applyFill="1" applyBorder="1" applyAlignment="1">
      <alignment horizontal="left"/>
    </xf>
    <xf numFmtId="0" fontId="33" fillId="3" borderId="63" xfId="0" applyFont="1" applyFill="1" applyBorder="1"/>
    <xf numFmtId="0" fontId="33" fillId="3" borderId="16" xfId="0" applyFont="1" applyFill="1" applyBorder="1"/>
    <xf numFmtId="0" fontId="2" fillId="0" borderId="77" xfId="0" applyFont="1" applyBorder="1" applyAlignment="1">
      <alignment horizontal="center" vertical="center"/>
    </xf>
    <xf numFmtId="0" fontId="33" fillId="0" borderId="79" xfId="0" applyFont="1" applyBorder="1" applyAlignment="1">
      <alignment horizontal="center"/>
    </xf>
    <xf numFmtId="0" fontId="33" fillId="0" borderId="80" xfId="0" applyFont="1" applyBorder="1" applyAlignment="1">
      <alignment horizontal="center" vertical="center"/>
    </xf>
    <xf numFmtId="0" fontId="33" fillId="0" borderId="80" xfId="0" applyFont="1" applyBorder="1" applyAlignment="1">
      <alignment horizontal="center"/>
    </xf>
    <xf numFmtId="0" fontId="34" fillId="0" borderId="82" xfId="1" applyFont="1" applyFill="1" applyBorder="1" applyAlignment="1">
      <alignment horizontal="center" vertical="center"/>
    </xf>
    <xf numFmtId="0" fontId="33" fillId="0" borderId="80" xfId="0" applyFont="1" applyBorder="1"/>
    <xf numFmtId="0" fontId="33" fillId="0" borderId="65" xfId="0" applyFont="1" applyBorder="1"/>
    <xf numFmtId="0" fontId="34" fillId="0" borderId="80" xfId="0" applyFont="1" applyBorder="1" applyAlignment="1">
      <alignment horizontal="center" vertical="center"/>
    </xf>
    <xf numFmtId="0" fontId="33" fillId="2" borderId="35" xfId="0" applyFont="1" applyFill="1" applyBorder="1" applyAlignment="1">
      <alignment horizontal="center" vertical="center"/>
    </xf>
    <xf numFmtId="0" fontId="2" fillId="3" borderId="1" xfId="0" applyFont="1" applyFill="1" applyBorder="1" applyAlignment="1">
      <alignment horizontal="left"/>
    </xf>
    <xf numFmtId="0" fontId="36" fillId="3" borderId="1" xfId="0" applyFont="1" applyFill="1" applyBorder="1" applyAlignment="1">
      <alignment horizontal="left" vertical="center"/>
    </xf>
    <xf numFmtId="0" fontId="33" fillId="3" borderId="1" xfId="0" applyFont="1" applyFill="1" applyBorder="1" applyAlignment="1">
      <alignment horizontal="left" vertical="center"/>
    </xf>
    <xf numFmtId="49" fontId="33" fillId="0" borderId="65" xfId="0" applyNumberFormat="1" applyFont="1" applyBorder="1" applyAlignment="1">
      <alignment horizontal="center" vertical="center"/>
    </xf>
    <xf numFmtId="0" fontId="27" fillId="3" borderId="1" xfId="0" applyFont="1" applyFill="1" applyBorder="1" applyAlignment="1">
      <alignment horizontal="center" vertical="center"/>
    </xf>
    <xf numFmtId="0" fontId="24" fillId="3" borderId="5" xfId="0" applyFont="1" applyFill="1" applyBorder="1" applyAlignment="1">
      <alignment horizontal="center" vertical="center"/>
    </xf>
    <xf numFmtId="0" fontId="24" fillId="3" borderId="16" xfId="0" applyFont="1" applyFill="1" applyBorder="1" applyAlignment="1">
      <alignment horizontal="center" vertical="center"/>
    </xf>
    <xf numFmtId="0" fontId="24" fillId="2" borderId="65" xfId="0" applyFont="1" applyFill="1" applyBorder="1" applyAlignment="1">
      <alignment vertical="center" wrapText="1"/>
    </xf>
    <xf numFmtId="0" fontId="14" fillId="2" borderId="0" xfId="0" applyFont="1" applyFill="1" applyAlignment="1">
      <alignment horizontal="center" vertical="center"/>
    </xf>
    <xf numFmtId="0" fontId="30" fillId="3" borderId="1" xfId="0" applyFont="1" applyFill="1" applyBorder="1" applyAlignment="1">
      <alignment horizontal="center" vertical="center"/>
    </xf>
    <xf numFmtId="0" fontId="37" fillId="3" borderId="1" xfId="0" applyFont="1" applyFill="1" applyBorder="1" applyAlignment="1">
      <alignment horizontal="center" vertical="center"/>
    </xf>
    <xf numFmtId="0" fontId="38" fillId="3" borderId="1" xfId="0" applyFont="1" applyFill="1" applyBorder="1" applyAlignment="1">
      <alignment horizontal="center" vertical="center"/>
    </xf>
    <xf numFmtId="0" fontId="24" fillId="3" borderId="6" xfId="0" applyFont="1" applyFill="1" applyBorder="1" applyAlignment="1">
      <alignment horizontal="left" vertical="center"/>
    </xf>
    <xf numFmtId="0" fontId="24" fillId="3" borderId="63" xfId="0" applyFont="1" applyFill="1" applyBorder="1" applyAlignment="1">
      <alignment horizontal="left" vertical="center"/>
    </xf>
    <xf numFmtId="0" fontId="39" fillId="3" borderId="1" xfId="0" applyFont="1" applyFill="1" applyBorder="1" applyAlignment="1">
      <alignment horizontal="center" vertical="center"/>
    </xf>
    <xf numFmtId="0" fontId="40" fillId="3" borderId="1" xfId="0" applyFont="1" applyFill="1" applyBorder="1" applyAlignment="1">
      <alignment horizontal="center" vertical="center"/>
    </xf>
    <xf numFmtId="0" fontId="24" fillId="3" borderId="63" xfId="0" applyFont="1" applyFill="1" applyBorder="1" applyAlignment="1">
      <alignment horizontal="left"/>
    </xf>
    <xf numFmtId="0" fontId="25" fillId="3" borderId="1" xfId="0" applyFont="1" applyFill="1" applyBorder="1" applyAlignment="1">
      <alignment horizontal="left" vertical="center"/>
    </xf>
    <xf numFmtId="0" fontId="25" fillId="3" borderId="63" xfId="0" applyFont="1" applyFill="1" applyBorder="1" applyAlignment="1">
      <alignment horizontal="left" vertical="center"/>
    </xf>
    <xf numFmtId="0" fontId="41" fillId="3" borderId="1" xfId="0" applyFont="1" applyFill="1" applyBorder="1" applyAlignment="1">
      <alignment horizontal="center" vertical="center"/>
    </xf>
    <xf numFmtId="0" fontId="37" fillId="3" borderId="1" xfId="0" applyFont="1" applyFill="1" applyBorder="1" applyAlignment="1">
      <alignment horizontal="center"/>
    </xf>
    <xf numFmtId="0" fontId="30" fillId="3" borderId="1" xfId="0" applyFont="1" applyFill="1" applyBorder="1" applyAlignment="1">
      <alignment horizontal="center"/>
    </xf>
    <xf numFmtId="0" fontId="42" fillId="3" borderId="1" xfId="0" applyFont="1" applyFill="1" applyBorder="1" applyAlignment="1">
      <alignment horizontal="center"/>
    </xf>
    <xf numFmtId="0" fontId="43" fillId="3" borderId="1" xfId="0" applyFont="1" applyFill="1" applyBorder="1" applyAlignment="1">
      <alignment horizontal="center"/>
    </xf>
    <xf numFmtId="14" fontId="44" fillId="3" borderId="1" xfId="0" applyNumberFormat="1" applyFont="1" applyFill="1" applyBorder="1" applyAlignment="1">
      <alignment horizontal="center"/>
    </xf>
    <xf numFmtId="14" fontId="44" fillId="3" borderId="6" xfId="0" applyNumberFormat="1" applyFont="1" applyFill="1" applyBorder="1" applyAlignment="1">
      <alignment horizontal="center"/>
    </xf>
    <xf numFmtId="14" fontId="44" fillId="3" borderId="63" xfId="0" applyNumberFormat="1" applyFont="1" applyFill="1" applyBorder="1" applyAlignment="1">
      <alignment horizontal="center"/>
    </xf>
    <xf numFmtId="1" fontId="45" fillId="3" borderId="63" xfId="0" applyNumberFormat="1" applyFont="1" applyFill="1" applyBorder="1" applyAlignment="1">
      <alignment horizontal="center" vertical="center"/>
    </xf>
    <xf numFmtId="0" fontId="25" fillId="3" borderId="63" xfId="0" applyFont="1" applyFill="1" applyBorder="1"/>
    <xf numFmtId="0" fontId="24" fillId="3" borderId="1" xfId="0" applyFont="1" applyFill="1" applyBorder="1" applyAlignment="1">
      <alignment horizontal="center"/>
    </xf>
    <xf numFmtId="0" fontId="45" fillId="3" borderId="1" xfId="0" applyFont="1" applyFill="1" applyBorder="1" applyAlignment="1">
      <alignment horizontal="center" vertical="center"/>
    </xf>
    <xf numFmtId="0" fontId="24" fillId="3" borderId="1" xfId="0" applyFont="1" applyFill="1" applyBorder="1" applyAlignment="1">
      <alignment vertical="center"/>
    </xf>
    <xf numFmtId="0" fontId="44" fillId="3" borderId="1" xfId="0" applyFont="1" applyFill="1" applyBorder="1" applyAlignment="1">
      <alignment horizontal="center" vertical="center"/>
    </xf>
    <xf numFmtId="0" fontId="46" fillId="2" borderId="109" xfId="0" applyFont="1" applyFill="1" applyBorder="1" applyAlignment="1">
      <alignment horizontal="center" vertical="center"/>
    </xf>
    <xf numFmtId="0" fontId="47" fillId="2" borderId="109" xfId="1" applyFont="1" applyFill="1" applyBorder="1" applyAlignment="1">
      <alignment horizontal="center" vertical="center"/>
    </xf>
    <xf numFmtId="0" fontId="24" fillId="3" borderId="112" xfId="0" applyFont="1" applyFill="1" applyBorder="1"/>
    <xf numFmtId="0" fontId="24" fillId="3" borderId="119" xfId="0" applyFont="1" applyFill="1" applyBorder="1"/>
    <xf numFmtId="0" fontId="24" fillId="2" borderId="121" xfId="0" applyFont="1" applyFill="1" applyBorder="1" applyAlignment="1">
      <alignment horizontal="center" vertical="center"/>
    </xf>
    <xf numFmtId="0" fontId="2" fillId="4" borderId="77" xfId="0" applyFont="1" applyFill="1" applyBorder="1" applyAlignment="1">
      <alignment horizontal="center" vertical="center"/>
    </xf>
    <xf numFmtId="0" fontId="2" fillId="4" borderId="13" xfId="0" applyFont="1" applyFill="1" applyBorder="1" applyAlignment="1">
      <alignment horizontal="center" vertical="center"/>
    </xf>
    <xf numFmtId="0" fontId="33" fillId="4" borderId="79" xfId="0" applyFont="1" applyFill="1" applyBorder="1" applyAlignment="1">
      <alignment horizontal="center"/>
    </xf>
    <xf numFmtId="0" fontId="34" fillId="4" borderId="80" xfId="1" applyFont="1" applyFill="1" applyBorder="1" applyAlignment="1">
      <alignment horizontal="center" vertical="center"/>
    </xf>
    <xf numFmtId="0" fontId="33" fillId="4" borderId="80" xfId="0" applyFont="1" applyFill="1" applyBorder="1" applyAlignment="1">
      <alignment horizontal="center" vertical="center"/>
    </xf>
    <xf numFmtId="0" fontId="34" fillId="4" borderId="65" xfId="0" applyFont="1" applyFill="1" applyBorder="1" applyAlignment="1">
      <alignment horizontal="center" vertical="center"/>
    </xf>
    <xf numFmtId="0" fontId="33" fillId="4" borderId="80" xfId="0" applyFont="1" applyFill="1" applyBorder="1" applyAlignment="1">
      <alignment horizontal="center"/>
    </xf>
    <xf numFmtId="0" fontId="33" fillId="4" borderId="80" xfId="0" applyFont="1" applyFill="1" applyBorder="1"/>
    <xf numFmtId="0" fontId="33" fillId="4" borderId="65" xfId="0" applyFont="1" applyFill="1" applyBorder="1"/>
    <xf numFmtId="0" fontId="33" fillId="4" borderId="65" xfId="0" applyFont="1" applyFill="1" applyBorder="1" applyAlignment="1">
      <alignment horizontal="center" vertical="center"/>
    </xf>
    <xf numFmtId="0" fontId="34" fillId="4" borderId="80" xfId="0" applyFont="1" applyFill="1" applyBorder="1" applyAlignment="1">
      <alignment horizontal="center" vertical="center"/>
    </xf>
    <xf numFmtId="0" fontId="2" fillId="4" borderId="76" xfId="0" applyFont="1" applyFill="1" applyBorder="1" applyAlignment="1">
      <alignment horizontal="center" vertical="center"/>
    </xf>
    <xf numFmtId="0" fontId="33" fillId="4" borderId="79" xfId="0" applyFont="1" applyFill="1" applyBorder="1" applyAlignment="1">
      <alignment horizontal="center" vertical="center" wrapText="1"/>
    </xf>
    <xf numFmtId="0" fontId="33" fillId="4" borderId="90" xfId="0" applyFont="1" applyFill="1" applyBorder="1" applyAlignment="1">
      <alignment horizontal="center" vertical="center"/>
    </xf>
    <xf numFmtId="0" fontId="35" fillId="4" borderId="90" xfId="0" applyFont="1" applyFill="1" applyBorder="1" applyAlignment="1">
      <alignment horizontal="center" vertical="center"/>
    </xf>
    <xf numFmtId="0" fontId="33" fillId="4" borderId="65" xfId="0" applyFont="1" applyFill="1" applyBorder="1" applyAlignment="1">
      <alignment horizontal="center" vertical="center" wrapText="1"/>
    </xf>
    <xf numFmtId="0" fontId="33" fillId="4" borderId="65" xfId="0" applyFont="1" applyFill="1" applyBorder="1" applyAlignment="1">
      <alignment horizontal="center"/>
    </xf>
    <xf numFmtId="0" fontId="35" fillId="4" borderId="11" xfId="0" applyFont="1" applyFill="1" applyBorder="1" applyAlignment="1">
      <alignment horizontal="center" vertical="center"/>
    </xf>
    <xf numFmtId="0" fontId="33" fillId="4" borderId="80" xfId="0" applyFont="1" applyFill="1" applyBorder="1" applyAlignment="1">
      <alignment horizontal="center" vertical="center" wrapText="1"/>
    </xf>
    <xf numFmtId="0" fontId="35" fillId="4" borderId="65" xfId="0" applyFont="1" applyFill="1" applyBorder="1" applyAlignment="1">
      <alignment horizontal="center" vertical="center"/>
    </xf>
    <xf numFmtId="0" fontId="2" fillId="4" borderId="115" xfId="0" applyFont="1" applyFill="1" applyBorder="1" applyAlignment="1">
      <alignment horizontal="center" vertical="center"/>
    </xf>
    <xf numFmtId="0" fontId="2" fillId="4" borderId="109" xfId="0" applyFont="1" applyFill="1" applyBorder="1" applyAlignment="1">
      <alignment horizontal="center" vertical="center"/>
    </xf>
    <xf numFmtId="0" fontId="2" fillId="4" borderId="124" xfId="0" applyFont="1" applyFill="1" applyBorder="1" applyAlignment="1">
      <alignment horizontal="center" vertical="center"/>
    </xf>
    <xf numFmtId="0" fontId="2" fillId="4" borderId="111" xfId="0" applyFont="1" applyFill="1" applyBorder="1" applyAlignment="1">
      <alignment horizontal="center" vertical="center"/>
    </xf>
    <xf numFmtId="0" fontId="2" fillId="4" borderId="116" xfId="0" applyFont="1" applyFill="1" applyBorder="1" applyAlignment="1">
      <alignment horizontal="center" vertical="center"/>
    </xf>
    <xf numFmtId="0" fontId="2" fillId="4" borderId="117" xfId="0" applyFont="1" applyFill="1" applyBorder="1" applyAlignment="1">
      <alignment horizontal="center" vertical="center"/>
    </xf>
    <xf numFmtId="0" fontId="2" fillId="4" borderId="118" xfId="0" applyFont="1" applyFill="1" applyBorder="1" applyAlignment="1">
      <alignment horizontal="center" vertical="center"/>
    </xf>
    <xf numFmtId="0" fontId="33" fillId="4" borderId="115" xfId="0" applyFont="1" applyFill="1" applyBorder="1" applyAlignment="1">
      <alignment horizontal="center"/>
    </xf>
    <xf numFmtId="0" fontId="33" fillId="4" borderId="115" xfId="0" applyFont="1" applyFill="1" applyBorder="1" applyAlignment="1">
      <alignment horizontal="center" vertical="center"/>
    </xf>
    <xf numFmtId="0" fontId="35" fillId="4" borderId="126" xfId="0" applyFont="1" applyFill="1" applyBorder="1" applyAlignment="1">
      <alignment horizontal="center" vertical="center"/>
    </xf>
    <xf numFmtId="0" fontId="35" fillId="4" borderId="127" xfId="0" applyFont="1" applyFill="1" applyBorder="1" applyAlignment="1">
      <alignment horizontal="center" vertical="center"/>
    </xf>
    <xf numFmtId="0" fontId="35" fillId="4" borderId="125" xfId="0" applyFont="1" applyFill="1" applyBorder="1" applyAlignment="1">
      <alignment horizontal="center" vertical="center"/>
    </xf>
    <xf numFmtId="0" fontId="35" fillId="4" borderId="120" xfId="0" applyFont="1" applyFill="1" applyBorder="1" applyAlignment="1">
      <alignment horizontal="center" vertical="center"/>
    </xf>
    <xf numFmtId="0" fontId="33" fillId="4" borderId="114" xfId="0" applyFont="1" applyFill="1" applyBorder="1" applyAlignment="1">
      <alignment horizontal="center" vertical="center"/>
    </xf>
    <xf numFmtId="0" fontId="35" fillId="4" borderId="63" xfId="0" applyFont="1" applyFill="1" applyBorder="1" applyAlignment="1">
      <alignment horizontal="center" vertical="center"/>
    </xf>
    <xf numFmtId="0" fontId="35" fillId="4" borderId="128" xfId="0" applyFont="1" applyFill="1" applyBorder="1" applyAlignment="1">
      <alignment horizontal="center" vertical="center"/>
    </xf>
    <xf numFmtId="0" fontId="35" fillId="4" borderId="122" xfId="0" applyFont="1" applyFill="1" applyBorder="1" applyAlignment="1">
      <alignment horizontal="center" vertical="center"/>
    </xf>
    <xf numFmtId="0" fontId="33" fillId="4" borderId="114" xfId="0" applyFont="1" applyFill="1" applyBorder="1" applyAlignment="1">
      <alignment horizontal="center"/>
    </xf>
    <xf numFmtId="0" fontId="33" fillId="4" borderId="109" xfId="0" applyFont="1" applyFill="1" applyBorder="1" applyAlignment="1">
      <alignment horizontal="center"/>
    </xf>
    <xf numFmtId="0" fontId="33" fillId="4" borderId="119" xfId="0" applyFont="1" applyFill="1" applyBorder="1" applyAlignment="1">
      <alignment horizontal="center" vertical="center" wrapText="1"/>
    </xf>
    <xf numFmtId="0" fontId="33" fillId="4" borderId="124" xfId="0" applyFont="1" applyFill="1" applyBorder="1" applyAlignment="1">
      <alignment horizontal="center" vertical="center"/>
    </xf>
    <xf numFmtId="0" fontId="35" fillId="4" borderId="124" xfId="0" applyFont="1" applyFill="1" applyBorder="1" applyAlignment="1">
      <alignment horizontal="center" vertical="center"/>
    </xf>
    <xf numFmtId="0" fontId="35" fillId="4" borderId="111" xfId="0" applyFont="1" applyFill="1" applyBorder="1" applyAlignment="1">
      <alignment horizontal="center" vertical="center"/>
    </xf>
    <xf numFmtId="0" fontId="34" fillId="4" borderId="116" xfId="1" applyFont="1" applyFill="1" applyBorder="1" applyAlignment="1">
      <alignment horizontal="center" vertical="center"/>
    </xf>
    <xf numFmtId="0" fontId="33" fillId="4" borderId="123" xfId="0" applyFont="1" applyFill="1" applyBorder="1" applyAlignment="1">
      <alignment horizontal="center" vertical="center" wrapText="1"/>
    </xf>
    <xf numFmtId="0" fontId="33" fillId="4" borderId="109" xfId="0" applyFont="1" applyFill="1" applyBorder="1" applyAlignment="1">
      <alignment horizontal="center" vertical="center"/>
    </xf>
    <xf numFmtId="0" fontId="35" fillId="4" borderId="110" xfId="0" applyFont="1" applyFill="1" applyBorder="1" applyAlignment="1">
      <alignment horizontal="center" vertical="center"/>
    </xf>
    <xf numFmtId="0" fontId="35" fillId="4" borderId="109" xfId="0" applyFont="1" applyFill="1" applyBorder="1" applyAlignment="1">
      <alignment horizontal="center" vertical="center"/>
    </xf>
    <xf numFmtId="0" fontId="34" fillId="4" borderId="63" xfId="0" applyFont="1" applyFill="1" applyBorder="1" applyAlignment="1">
      <alignment horizontal="center" vertical="center"/>
    </xf>
    <xf numFmtId="0" fontId="35" fillId="4" borderId="134" xfId="0" applyFont="1" applyFill="1" applyBorder="1" applyAlignment="1">
      <alignment horizontal="center" vertical="center"/>
    </xf>
    <xf numFmtId="0" fontId="35" fillId="4" borderId="131" xfId="0" applyFont="1" applyFill="1" applyBorder="1" applyAlignment="1">
      <alignment horizontal="center" vertical="center"/>
    </xf>
    <xf numFmtId="0" fontId="33" fillId="4" borderId="130" xfId="0" applyFont="1" applyFill="1" applyBorder="1" applyAlignment="1">
      <alignment horizontal="center" vertical="center"/>
    </xf>
    <xf numFmtId="0" fontId="35" fillId="4" borderId="133" xfId="0" applyFont="1" applyFill="1" applyBorder="1" applyAlignment="1">
      <alignment horizontal="center" vertical="center"/>
    </xf>
    <xf numFmtId="0" fontId="35" fillId="4" borderId="130" xfId="0" applyFont="1" applyFill="1" applyBorder="1" applyAlignment="1">
      <alignment horizontal="center" vertical="center"/>
    </xf>
    <xf numFmtId="0" fontId="35" fillId="4" borderId="129" xfId="0" applyFont="1" applyFill="1" applyBorder="1" applyAlignment="1">
      <alignment horizontal="center" vertical="center"/>
    </xf>
    <xf numFmtId="0" fontId="33" fillId="4" borderId="116" xfId="0" applyFont="1" applyFill="1" applyBorder="1" applyAlignment="1">
      <alignment horizontal="center" vertical="center"/>
    </xf>
    <xf numFmtId="0" fontId="34" fillId="4" borderId="109" xfId="1" applyFont="1" applyFill="1" applyBorder="1" applyAlignment="1">
      <alignment horizontal="center" vertical="center"/>
    </xf>
    <xf numFmtId="0" fontId="33" fillId="4" borderId="109" xfId="0" applyFont="1" applyFill="1" applyBorder="1" applyAlignment="1">
      <alignment horizontal="center" vertical="center" wrapText="1"/>
    </xf>
    <xf numFmtId="0" fontId="33" fillId="4" borderId="111" xfId="0" applyFont="1" applyFill="1" applyBorder="1" applyAlignment="1">
      <alignment horizontal="center" vertical="center" wrapText="1"/>
    </xf>
    <xf numFmtId="0" fontId="34" fillId="4" borderId="110" xfId="1" applyFont="1" applyFill="1" applyBorder="1" applyAlignment="1">
      <alignment horizontal="center" vertical="center"/>
    </xf>
    <xf numFmtId="0" fontId="33" fillId="4" borderId="113" xfId="0" applyFont="1" applyFill="1" applyBorder="1" applyAlignment="1">
      <alignment horizontal="center"/>
    </xf>
    <xf numFmtId="0" fontId="34" fillId="4" borderId="119" xfId="1" applyFont="1" applyFill="1" applyBorder="1" applyAlignment="1">
      <alignment horizontal="center" vertical="center"/>
    </xf>
    <xf numFmtId="0" fontId="33" fillId="4" borderId="113" xfId="0" applyFont="1" applyFill="1" applyBorder="1" applyAlignment="1">
      <alignment horizontal="center" vertical="center"/>
    </xf>
    <xf numFmtId="0" fontId="35" fillId="4" borderId="119" xfId="0" applyFont="1" applyFill="1" applyBorder="1" applyAlignment="1">
      <alignment horizontal="center" vertical="center"/>
    </xf>
    <xf numFmtId="0" fontId="33" fillId="4" borderId="79" xfId="0" applyFont="1" applyFill="1" applyBorder="1" applyAlignment="1">
      <alignment horizontal="center" vertical="center"/>
    </xf>
    <xf numFmtId="49" fontId="33" fillId="4" borderId="90" xfId="0" applyNumberFormat="1" applyFont="1" applyFill="1" applyBorder="1" applyAlignment="1">
      <alignment horizontal="center" vertical="center"/>
    </xf>
    <xf numFmtId="49" fontId="33" fillId="4" borderId="65" xfId="0" applyNumberFormat="1" applyFont="1" applyFill="1" applyBorder="1" applyAlignment="1">
      <alignment horizontal="center" vertical="center"/>
    </xf>
    <xf numFmtId="0" fontId="18" fillId="2" borderId="65" xfId="0" applyFont="1" applyFill="1" applyBorder="1" applyAlignment="1">
      <alignment horizontal="left" vertical="top"/>
    </xf>
    <xf numFmtId="0" fontId="48" fillId="5" borderId="137" xfId="0" applyFont="1" applyFill="1" applyBorder="1" applyAlignment="1">
      <alignment vertical="top" wrapText="1" indent="1"/>
    </xf>
    <xf numFmtId="0" fontId="1" fillId="0" borderId="83" xfId="0" applyFont="1" applyBorder="1" applyAlignment="1">
      <alignment horizontal="center" vertical="center"/>
    </xf>
    <xf numFmtId="0" fontId="1" fillId="0" borderId="81" xfId="0" applyFont="1" applyBorder="1" applyAlignment="1">
      <alignment horizontal="center" vertical="center"/>
    </xf>
    <xf numFmtId="0" fontId="1" fillId="0" borderId="135" xfId="0" applyFont="1" applyBorder="1" applyAlignment="1">
      <alignment horizontal="center" vertical="center"/>
    </xf>
    <xf numFmtId="0" fontId="1" fillId="0" borderId="136" xfId="0" applyFont="1" applyBorder="1" applyAlignment="1">
      <alignment horizontal="center" vertical="center"/>
    </xf>
    <xf numFmtId="0" fontId="1" fillId="0" borderId="82" xfId="0" applyFont="1" applyBorder="1" applyAlignment="1">
      <alignment horizontal="center" vertical="center"/>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2" fillId="0" borderId="84" xfId="0" applyFont="1" applyBorder="1" applyAlignment="1">
      <alignment horizontal="center" vertical="center"/>
    </xf>
    <xf numFmtId="0" fontId="12" fillId="0" borderId="85" xfId="0" applyFont="1" applyBorder="1" applyAlignment="1">
      <alignment horizontal="center" vertical="center"/>
    </xf>
    <xf numFmtId="0" fontId="13" fillId="2" borderId="2" xfId="0" applyFont="1" applyFill="1" applyBorder="1" applyAlignment="1">
      <alignment horizontal="center" vertical="center" wrapText="1"/>
    </xf>
    <xf numFmtId="0" fontId="14" fillId="2" borderId="3" xfId="0" applyFont="1" applyFill="1" applyBorder="1"/>
    <xf numFmtId="0" fontId="14" fillId="2" borderId="4" xfId="0" applyFont="1" applyFill="1" applyBorder="1"/>
    <xf numFmtId="0" fontId="14" fillId="2" borderId="0" xfId="0" applyFont="1" applyFill="1"/>
    <xf numFmtId="0" fontId="12" fillId="0" borderId="7" xfId="0" applyFont="1" applyBorder="1" applyAlignment="1">
      <alignment horizontal="center" vertical="center"/>
    </xf>
    <xf numFmtId="0" fontId="1" fillId="0" borderId="8" xfId="0" applyFont="1" applyBorder="1"/>
    <xf numFmtId="0" fontId="1" fillId="0" borderId="9" xfId="0" applyFont="1" applyBorder="1"/>
    <xf numFmtId="165" fontId="1" fillId="0" borderId="22" xfId="0" applyNumberFormat="1" applyFont="1" applyBorder="1" applyAlignment="1">
      <alignment horizontal="center" vertical="center"/>
    </xf>
    <xf numFmtId="0" fontId="1" fillId="0" borderId="23" xfId="0" applyFont="1" applyBorder="1"/>
    <xf numFmtId="0" fontId="5" fillId="2" borderId="6" xfId="0" applyFont="1" applyFill="1" applyBorder="1" applyAlignment="1">
      <alignment horizontal="center"/>
    </xf>
    <xf numFmtId="0" fontId="4" fillId="2" borderId="26" xfId="0" applyFont="1" applyFill="1" applyBorder="1"/>
    <xf numFmtId="165" fontId="1" fillId="0" borderId="32" xfId="0" applyNumberFormat="1" applyFont="1" applyBorder="1" applyAlignment="1">
      <alignment horizontal="center" vertical="center"/>
    </xf>
    <xf numFmtId="0" fontId="1" fillId="0" borderId="33" xfId="0" applyFont="1" applyBorder="1"/>
    <xf numFmtId="0" fontId="1" fillId="0" borderId="34" xfId="0" applyFont="1" applyBorder="1"/>
    <xf numFmtId="0" fontId="22" fillId="0" borderId="13" xfId="0" applyFont="1" applyBorder="1" applyAlignment="1">
      <alignment horizontal="center" vertical="center" wrapText="1"/>
    </xf>
    <xf numFmtId="0" fontId="22" fillId="0" borderId="102" xfId="0" applyFont="1" applyBorder="1" applyAlignment="1">
      <alignment horizontal="center" vertical="center" wrapText="1"/>
    </xf>
    <xf numFmtId="0" fontId="22" fillId="0" borderId="104" xfId="0" applyFont="1" applyBorder="1" applyAlignment="1">
      <alignment horizontal="center" vertical="center" wrapText="1"/>
    </xf>
    <xf numFmtId="0" fontId="22" fillId="0" borderId="105" xfId="0" applyFont="1" applyBorder="1" applyAlignment="1">
      <alignment horizontal="center" vertical="center" wrapText="1"/>
    </xf>
    <xf numFmtId="0" fontId="13" fillId="3" borderId="2" xfId="0" applyFont="1" applyFill="1" applyBorder="1" applyAlignment="1">
      <alignment horizontal="center" vertical="center"/>
    </xf>
    <xf numFmtId="0" fontId="21" fillId="0" borderId="38" xfId="0" applyFont="1" applyBorder="1" applyAlignment="1">
      <alignment horizontal="center" vertical="center"/>
    </xf>
    <xf numFmtId="0" fontId="21" fillId="0" borderId="61" xfId="0" applyFont="1" applyBorder="1" applyAlignment="1">
      <alignment horizontal="center" vertical="center"/>
    </xf>
    <xf numFmtId="0" fontId="21" fillId="0" borderId="59" xfId="0" applyFont="1" applyBorder="1" applyAlignment="1">
      <alignment horizontal="center" vertical="center"/>
    </xf>
    <xf numFmtId="0" fontId="21" fillId="0" borderId="56" xfId="0" applyFont="1" applyBorder="1" applyAlignment="1">
      <alignment horizontal="center" vertical="center"/>
    </xf>
    <xf numFmtId="0" fontId="21" fillId="0" borderId="63" xfId="0" applyFont="1" applyBorder="1" applyAlignment="1">
      <alignment horizontal="center" vertical="center"/>
    </xf>
    <xf numFmtId="0" fontId="21" fillId="0" borderId="57" xfId="0" applyFont="1" applyBorder="1" applyAlignment="1">
      <alignment horizontal="center" vertical="center"/>
    </xf>
    <xf numFmtId="0" fontId="22" fillId="0" borderId="99" xfId="0" applyFont="1" applyBorder="1" applyAlignment="1">
      <alignment horizontal="center" vertical="center" wrapText="1"/>
    </xf>
    <xf numFmtId="0" fontId="22" fillId="0" borderId="100" xfId="0" applyFont="1" applyBorder="1" applyAlignment="1">
      <alignment horizontal="center" vertical="center" wrapText="1"/>
    </xf>
    <xf numFmtId="0" fontId="21" fillId="0" borderId="87" xfId="0" applyFont="1" applyBorder="1" applyAlignment="1">
      <alignment horizontal="center" vertical="center" wrapText="1"/>
    </xf>
    <xf numFmtId="0" fontId="21" fillId="0" borderId="88" xfId="0" applyFont="1" applyBorder="1" applyAlignment="1">
      <alignment horizontal="center" vertical="center" wrapText="1"/>
    </xf>
    <xf numFmtId="0" fontId="21" fillId="0" borderId="89" xfId="0" applyFont="1" applyBorder="1" applyAlignment="1">
      <alignment horizontal="center" vertical="center" wrapText="1"/>
    </xf>
    <xf numFmtId="0" fontId="21" fillId="0" borderId="106" xfId="0" applyFont="1" applyBorder="1" applyAlignment="1">
      <alignment horizontal="center" vertical="center" wrapText="1"/>
    </xf>
    <xf numFmtId="0" fontId="21" fillId="0" borderId="108" xfId="0" applyFont="1" applyBorder="1" applyAlignment="1">
      <alignment horizontal="center" vertical="center" wrapText="1"/>
    </xf>
    <xf numFmtId="0" fontId="1" fillId="0" borderId="61" xfId="0" applyFont="1" applyBorder="1"/>
    <xf numFmtId="0" fontId="1" fillId="0" borderId="59" xfId="0" applyFont="1" applyBorder="1"/>
    <xf numFmtId="0" fontId="1" fillId="0" borderId="40" xfId="0" applyFont="1" applyBorder="1"/>
    <xf numFmtId="0" fontId="1" fillId="0" borderId="41" xfId="0" applyFont="1" applyBorder="1"/>
    <xf numFmtId="0" fontId="1" fillId="0" borderId="62" xfId="0" applyFont="1" applyBorder="1"/>
    <xf numFmtId="1" fontId="20" fillId="3" borderId="63" xfId="0" applyNumberFormat="1" applyFont="1" applyFill="1" applyBorder="1" applyAlignment="1">
      <alignment horizontal="center" vertical="center" wrapText="1"/>
    </xf>
    <xf numFmtId="0" fontId="14" fillId="2" borderId="63" xfId="0" applyFont="1" applyFill="1" applyBorder="1"/>
    <xf numFmtId="0" fontId="20" fillId="3" borderId="63" xfId="0" applyFont="1" applyFill="1" applyBorder="1" applyAlignment="1">
      <alignment horizontal="center" vertical="center" wrapText="1"/>
    </xf>
    <xf numFmtId="0" fontId="21" fillId="0" borderId="40" xfId="0" applyFont="1" applyBorder="1" applyAlignment="1">
      <alignment horizontal="center" vertical="center"/>
    </xf>
    <xf numFmtId="0" fontId="21" fillId="0" borderId="41" xfId="0" applyFont="1" applyBorder="1" applyAlignment="1">
      <alignment horizontal="center" vertical="center"/>
    </xf>
    <xf numFmtId="0" fontId="21" fillId="0" borderId="62" xfId="0" applyFont="1" applyBorder="1" applyAlignment="1">
      <alignment horizontal="center" vertical="center"/>
    </xf>
    <xf numFmtId="1" fontId="18" fillId="2" borderId="65" xfId="0" applyNumberFormat="1" applyFont="1" applyFill="1" applyBorder="1" applyAlignment="1">
      <alignment horizontal="left" vertical="top" wrapText="1"/>
    </xf>
    <xf numFmtId="1" fontId="18" fillId="2" borderId="47" xfId="0" applyNumberFormat="1" applyFont="1" applyFill="1" applyBorder="1" applyAlignment="1">
      <alignment horizontal="left" vertical="top" wrapText="1"/>
    </xf>
    <xf numFmtId="0" fontId="13" fillId="3" borderId="63" xfId="0" applyFont="1" applyFill="1" applyBorder="1" applyAlignment="1">
      <alignment horizontal="center" vertical="center"/>
    </xf>
    <xf numFmtId="0" fontId="18" fillId="3" borderId="63" xfId="0" applyFont="1" applyFill="1" applyBorder="1" applyAlignment="1">
      <alignment horizontal="center" vertical="center"/>
    </xf>
    <xf numFmtId="0" fontId="2" fillId="3" borderId="6" xfId="0" applyFont="1" applyFill="1" applyBorder="1" applyAlignment="1">
      <alignment horizontal="center" vertical="center"/>
    </xf>
    <xf numFmtId="0" fontId="1" fillId="2" borderId="26" xfId="0" applyFont="1" applyFill="1" applyBorder="1"/>
    <xf numFmtId="0" fontId="33" fillId="0" borderId="76" xfId="0" applyFont="1" applyBorder="1" applyAlignment="1">
      <alignment horizontal="center" vertical="center" wrapText="1"/>
    </xf>
    <xf numFmtId="0" fontId="33" fillId="0" borderId="65" xfId="0" applyFont="1" applyBorder="1" applyAlignment="1">
      <alignment horizontal="center" vertical="center" wrapText="1"/>
    </xf>
    <xf numFmtId="0" fontId="33" fillId="0" borderId="76" xfId="0" applyFont="1" applyBorder="1" applyAlignment="1">
      <alignment horizontal="center" wrapText="1"/>
    </xf>
    <xf numFmtId="0" fontId="33" fillId="0" borderId="65" xfId="0" applyFont="1" applyBorder="1" applyAlignment="1">
      <alignment horizontal="center" wrapText="1"/>
    </xf>
    <xf numFmtId="0" fontId="28" fillId="3" borderId="2" xfId="0" applyFont="1" applyFill="1" applyBorder="1" applyAlignment="1">
      <alignment horizontal="left" vertical="center"/>
    </xf>
    <xf numFmtId="0" fontId="2" fillId="0" borderId="74" xfId="0" applyFont="1" applyBorder="1" applyAlignment="1">
      <alignment horizontal="center" vertical="center"/>
    </xf>
    <xf numFmtId="0" fontId="1" fillId="0" borderId="75" xfId="0" applyFont="1" applyBorder="1"/>
    <xf numFmtId="0" fontId="33" fillId="4" borderId="115" xfId="0" applyFont="1" applyFill="1" applyBorder="1" applyAlignment="1">
      <alignment horizontal="center" vertical="center"/>
    </xf>
    <xf numFmtId="0" fontId="33" fillId="4" borderId="130" xfId="0" applyFont="1" applyFill="1" applyBorder="1" applyAlignment="1">
      <alignment horizontal="center" vertical="center"/>
    </xf>
    <xf numFmtId="0" fontId="34" fillId="4" borderId="115" xfId="1" applyFont="1" applyFill="1" applyBorder="1" applyAlignment="1">
      <alignment horizontal="center" vertical="center"/>
    </xf>
    <xf numFmtId="0" fontId="34" fillId="4" borderId="130" xfId="1" applyFont="1" applyFill="1" applyBorder="1" applyAlignment="1">
      <alignment horizontal="center" vertical="center"/>
    </xf>
    <xf numFmtId="0" fontId="25" fillId="3" borderId="6" xfId="0" applyFont="1" applyFill="1" applyBorder="1" applyAlignment="1">
      <alignment horizontal="center" vertical="center"/>
    </xf>
    <xf numFmtId="0" fontId="14" fillId="2" borderId="26" xfId="0" applyFont="1" applyFill="1" applyBorder="1"/>
    <xf numFmtId="0" fontId="2" fillId="4" borderId="74" xfId="0" applyFont="1" applyFill="1" applyBorder="1" applyAlignment="1">
      <alignment horizontal="center" vertical="center"/>
    </xf>
    <xf numFmtId="0" fontId="1" fillId="4" borderId="75" xfId="0" applyFont="1" applyFill="1" applyBorder="1"/>
    <xf numFmtId="0" fontId="33" fillId="4" borderId="80" xfId="0" applyFont="1" applyFill="1" applyBorder="1" applyAlignment="1">
      <alignment horizontal="center" vertical="center" wrapText="1"/>
    </xf>
    <xf numFmtId="0" fontId="33" fillId="4" borderId="65" xfId="0" applyFont="1" applyFill="1" applyBorder="1" applyAlignment="1">
      <alignment horizontal="center" vertical="center" wrapText="1"/>
    </xf>
    <xf numFmtId="0" fontId="33" fillId="4" borderId="114" xfId="0" applyFont="1" applyFill="1" applyBorder="1" applyAlignment="1">
      <alignment horizontal="center" vertical="center"/>
    </xf>
    <xf numFmtId="0" fontId="33" fillId="4" borderId="115" xfId="0" applyFont="1" applyFill="1" applyBorder="1" applyAlignment="1">
      <alignment horizontal="center" vertical="center" wrapText="1"/>
    </xf>
    <xf numFmtId="0" fontId="33" fillId="4" borderId="130" xfId="0" applyFont="1" applyFill="1" applyBorder="1" applyAlignment="1">
      <alignment horizontal="center" vertical="center" wrapText="1"/>
    </xf>
    <xf numFmtId="0" fontId="33" fillId="4" borderId="132" xfId="0" applyFont="1" applyFill="1" applyBorder="1" applyAlignment="1">
      <alignment horizontal="center" vertical="center" wrapText="1"/>
    </xf>
    <xf numFmtId="0" fontId="33" fillId="4" borderId="133" xfId="0" applyFont="1" applyFill="1" applyBorder="1" applyAlignment="1">
      <alignment horizontal="center" vertical="center" wrapText="1"/>
    </xf>
    <xf numFmtId="0" fontId="2" fillId="4" borderId="110" xfId="0" applyFont="1" applyFill="1" applyBorder="1" applyAlignment="1">
      <alignment horizontal="center" vertical="center"/>
    </xf>
    <xf numFmtId="0" fontId="1" fillId="4" borderId="111" xfId="0" applyFont="1" applyFill="1" applyBorder="1"/>
    <xf numFmtId="0" fontId="33" fillId="4" borderId="115" xfId="0" applyFont="1" applyFill="1" applyBorder="1" applyAlignment="1">
      <alignment horizontal="center"/>
    </xf>
    <xf numFmtId="0" fontId="33" fillId="4" borderId="130" xfId="0" applyFont="1" applyFill="1" applyBorder="1" applyAlignment="1">
      <alignment horizontal="center"/>
    </xf>
    <xf numFmtId="0" fontId="34" fillId="4" borderId="114" xfId="1" applyFont="1" applyFill="1" applyBorder="1" applyAlignment="1">
      <alignment horizontal="center" vertical="center"/>
    </xf>
    <xf numFmtId="0" fontId="28" fillId="3" borderId="63" xfId="0" applyFont="1" applyFill="1" applyBorder="1" applyAlignment="1">
      <alignment horizontal="center"/>
    </xf>
    <xf numFmtId="0" fontId="25" fillId="3" borderId="63" xfId="0" applyFont="1" applyFill="1" applyBorder="1" applyAlignment="1">
      <alignment horizontal="center" vertical="center"/>
    </xf>
    <xf numFmtId="0" fontId="25" fillId="3" borderId="63" xfId="0" applyFont="1" applyFill="1" applyBorder="1" applyAlignment="1">
      <alignment horizontal="center"/>
    </xf>
  </cellXfs>
  <cellStyles count="2">
    <cellStyle name="Hyperlink" xfId="1" builtinId="8"/>
    <cellStyle name="Normal" xfId="0" builtinId="0"/>
  </cellStyles>
  <dxfs count="76">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B7E1CD"/>
          <bgColor rgb="FFB7E1CD"/>
        </patternFill>
      </fill>
    </dxf>
    <dxf>
      <fill>
        <patternFill patternType="solid">
          <fgColor rgb="FFF4C7C3"/>
          <bgColor rgb="FFF4C7C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
      <fill>
        <patternFill patternType="solid">
          <fgColor rgb="FFF4C7C3"/>
          <bgColor rgb="FFF4C7C3"/>
        </patternFill>
      </fill>
    </dxf>
    <dxf>
      <fill>
        <patternFill patternType="solid">
          <fgColor rgb="FFB7E1CD"/>
          <bgColor rgb="FFB7E1CD"/>
        </patternFill>
      </fill>
    </dxf>
  </dxfs>
  <tableStyles count="0" defaultTableStyle="TableStyleMedium2" defaultPivotStyle="PivotStyleLight16"/>
  <colors>
    <mruColors>
      <color rgb="FF26C850"/>
      <color rgb="FF3DC744"/>
      <color rgb="FF53CD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3" Type="http://schemas.openxmlformats.org/officeDocument/2006/relationships/worksheet" Target="worksheets/sheet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619125</xdr:colOff>
      <xdr:row>1</xdr:row>
      <xdr:rowOff>55313</xdr:rowOff>
    </xdr:from>
    <xdr:to>
      <xdr:col>3</xdr:col>
      <xdr:colOff>57150</xdr:colOff>
      <xdr:row>4</xdr:row>
      <xdr:rowOff>363129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54125" y="436313"/>
          <a:ext cx="1527175" cy="1450816"/>
        </a:xfrm>
        <a:prstGeom prst="rect">
          <a:avLst/>
        </a:prstGeom>
      </xdr:spPr>
    </xdr:pic>
    <xdr:clientData/>
  </xdr:twoCellAnchor>
  <xdr:twoCellAnchor editAs="oneCell">
    <xdr:from>
      <xdr:col>8</xdr:col>
      <xdr:colOff>1609725</xdr:colOff>
      <xdr:row>1</xdr:row>
      <xdr:rowOff>11181</xdr:rowOff>
    </xdr:from>
    <xdr:to>
      <xdr:col>9</xdr:col>
      <xdr:colOff>1371600</xdr:colOff>
      <xdr:row>4</xdr:row>
      <xdr:rowOff>331062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1839575" y="392181"/>
          <a:ext cx="1539875" cy="1462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127000</xdr:colOff>
      <xdr:row>1</xdr:row>
      <xdr:rowOff>4646</xdr:rowOff>
    </xdr:from>
    <xdr:to>
      <xdr:col>2</xdr:col>
      <xdr:colOff>664633</xdr:colOff>
      <xdr:row>6</xdr:row>
      <xdr:rowOff>475180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7000" y="205729"/>
          <a:ext cx="1553633" cy="1475951"/>
        </a:xfrm>
        <a:prstGeom prst="rect">
          <a:avLst/>
        </a:prstGeom>
      </xdr:spPr>
    </xdr:pic>
    <xdr:clientData/>
  </xdr:twoCellAnchor>
  <xdr:twoCellAnchor editAs="oneCell">
    <xdr:from>
      <xdr:col>11</xdr:col>
      <xdr:colOff>2295525</xdr:colOff>
      <xdr:row>1</xdr:row>
      <xdr:rowOff>81534</xdr:rowOff>
    </xdr:from>
    <xdr:to>
      <xdr:col>12</xdr:col>
      <xdr:colOff>1400175</xdr:colOff>
      <xdr:row>7</xdr:row>
      <xdr:rowOff>51160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1926358" y="282617"/>
          <a:ext cx="1538817" cy="14618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266043</xdr:colOff>
      <xdr:row>1</xdr:row>
      <xdr:rowOff>0</xdr:rowOff>
    </xdr:from>
    <xdr:to>
      <xdr:col>3</xdr:col>
      <xdr:colOff>114957</xdr:colOff>
      <xdr:row>7</xdr:row>
      <xdr:rowOff>304144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18443" y="196850"/>
          <a:ext cx="1563414" cy="1485244"/>
        </a:xfrm>
        <a:prstGeom prst="rect">
          <a:avLst/>
        </a:prstGeom>
      </xdr:spPr>
    </xdr:pic>
    <xdr:clientData/>
  </xdr:twoCellAnchor>
  <xdr:twoCellAnchor editAs="oneCell">
    <xdr:from>
      <xdr:col>12</xdr:col>
      <xdr:colOff>123168</xdr:colOff>
      <xdr:row>1</xdr:row>
      <xdr:rowOff>57150</xdr:rowOff>
    </xdr:from>
    <xdr:to>
      <xdr:col>12</xdr:col>
      <xdr:colOff>1686582</xdr:colOff>
      <xdr:row>7</xdr:row>
      <xdr:rowOff>361294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016718" y="254000"/>
          <a:ext cx="1563414" cy="14852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708537</xdr:colOff>
      <xdr:row>0</xdr:row>
      <xdr:rowOff>152400</xdr:rowOff>
    </xdr:from>
    <xdr:to>
      <xdr:col>3</xdr:col>
      <xdr:colOff>2225162</xdr:colOff>
      <xdr:row>8</xdr:row>
      <xdr:rowOff>170794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442337" y="152400"/>
          <a:ext cx="1516625" cy="14407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699012</xdr:colOff>
      <xdr:row>0</xdr:row>
      <xdr:rowOff>152400</xdr:rowOff>
    </xdr:from>
    <xdr:to>
      <xdr:col>3</xdr:col>
      <xdr:colOff>2215637</xdr:colOff>
      <xdr:row>8</xdr:row>
      <xdr:rowOff>170794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470912" y="152400"/>
          <a:ext cx="1516625" cy="14407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351266</xdr:colOff>
      <xdr:row>1</xdr:row>
      <xdr:rowOff>104775</xdr:rowOff>
    </xdr:from>
    <xdr:to>
      <xdr:col>5</xdr:col>
      <xdr:colOff>372633</xdr:colOff>
      <xdr:row>8</xdr:row>
      <xdr:rowOff>151744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07516" y="282575"/>
          <a:ext cx="1519967" cy="1443969"/>
        </a:xfrm>
        <a:prstGeom prst="rect">
          <a:avLst/>
        </a:prstGeom>
      </xdr:spPr>
    </xdr:pic>
    <xdr:clientData/>
  </xdr:twoCellAnchor>
  <xdr:twoCellAnchor editAs="oneCell">
    <xdr:from>
      <xdr:col>0</xdr:col>
      <xdr:colOff>367141</xdr:colOff>
      <xdr:row>1</xdr:row>
      <xdr:rowOff>47625</xdr:rowOff>
    </xdr:from>
    <xdr:to>
      <xdr:col>1</xdr:col>
      <xdr:colOff>813958</xdr:colOff>
      <xdr:row>8</xdr:row>
      <xdr:rowOff>94594</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67141" y="225425"/>
          <a:ext cx="1519967" cy="144396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https://youtu.be/WDhCKfUak9E" TargetMode="External"/><Relationship Id="rId18" Type="http://schemas.openxmlformats.org/officeDocument/2006/relationships/hyperlink" Target="https://youtu.be/LVSJxUldz1E" TargetMode="External"/><Relationship Id="rId26" Type="http://schemas.openxmlformats.org/officeDocument/2006/relationships/hyperlink" Target="https://youtu.be/iXenFMX3OaM" TargetMode="External"/><Relationship Id="rId39" Type="http://schemas.openxmlformats.org/officeDocument/2006/relationships/hyperlink" Target="https://youtu.be/CgUteMfiOTw" TargetMode="External"/><Relationship Id="rId21" Type="http://schemas.openxmlformats.org/officeDocument/2006/relationships/hyperlink" Target="https://youtu.be/C6W5iPjr2JQ" TargetMode="External"/><Relationship Id="rId34" Type="http://schemas.openxmlformats.org/officeDocument/2006/relationships/hyperlink" Target="https://youtu.be/ToLSSIzacms" TargetMode="External"/><Relationship Id="rId7" Type="http://schemas.openxmlformats.org/officeDocument/2006/relationships/hyperlink" Target="https://youtube.com/shorts/SzlvuW2G9LU?feature=share" TargetMode="External"/><Relationship Id="rId2" Type="http://schemas.openxmlformats.org/officeDocument/2006/relationships/hyperlink" Target="https://youtu.be/WDhCKfUak9E" TargetMode="External"/><Relationship Id="rId16" Type="http://schemas.openxmlformats.org/officeDocument/2006/relationships/hyperlink" Target="https://youtu.be/Xja4zzHa5mc" TargetMode="External"/><Relationship Id="rId20" Type="http://schemas.openxmlformats.org/officeDocument/2006/relationships/hyperlink" Target="https://youtu.be/9GDWk5Mol6M" TargetMode="External"/><Relationship Id="rId29" Type="http://schemas.openxmlformats.org/officeDocument/2006/relationships/hyperlink" Target="https://youtu.be/0Me33ymxTT0" TargetMode="External"/><Relationship Id="rId41" Type="http://schemas.openxmlformats.org/officeDocument/2006/relationships/drawing" Target="../drawings/drawing4.xml"/><Relationship Id="rId1" Type="http://schemas.openxmlformats.org/officeDocument/2006/relationships/hyperlink" Target="https://youtu.be/1Y4vi0pZwAs" TargetMode="External"/><Relationship Id="rId6" Type="http://schemas.openxmlformats.org/officeDocument/2006/relationships/hyperlink" Target="https://youtube.com/shorts/SzlvuW2G9LU?feature=share" TargetMode="External"/><Relationship Id="rId11" Type="http://schemas.openxmlformats.org/officeDocument/2006/relationships/hyperlink" Target="https://www.youtube.com/shorts/eX7uv8dEAPQ" TargetMode="External"/><Relationship Id="rId24" Type="http://schemas.openxmlformats.org/officeDocument/2006/relationships/hyperlink" Target="https://youtu.be/H413pscp-4o" TargetMode="External"/><Relationship Id="rId32" Type="http://schemas.openxmlformats.org/officeDocument/2006/relationships/hyperlink" Target="https://youtu.be/THp-9SlLDBw" TargetMode="External"/><Relationship Id="rId37" Type="http://schemas.openxmlformats.org/officeDocument/2006/relationships/hyperlink" Target="https://youtu.be/ScrqZ1eI6mI" TargetMode="External"/><Relationship Id="rId40" Type="http://schemas.openxmlformats.org/officeDocument/2006/relationships/printerSettings" Target="../printerSettings/printerSettings4.bin"/><Relationship Id="rId5" Type="http://schemas.openxmlformats.org/officeDocument/2006/relationships/hyperlink" Target="https://youtube.com/shorts/SzlvuW2G9LU?feature=share" TargetMode="External"/><Relationship Id="rId15" Type="http://schemas.openxmlformats.org/officeDocument/2006/relationships/hyperlink" Target="https://youtu.be/fCu0tFPrves" TargetMode="External"/><Relationship Id="rId23" Type="http://schemas.openxmlformats.org/officeDocument/2006/relationships/hyperlink" Target="https://youtu.be/kZKHyCo0jjY" TargetMode="External"/><Relationship Id="rId28" Type="http://schemas.openxmlformats.org/officeDocument/2006/relationships/hyperlink" Target="https://youtu.be/wF04UF56tHU" TargetMode="External"/><Relationship Id="rId36" Type="http://schemas.openxmlformats.org/officeDocument/2006/relationships/hyperlink" Target="https://youtu.be/vt5xaNq5qg0" TargetMode="External"/><Relationship Id="rId10" Type="http://schemas.openxmlformats.org/officeDocument/2006/relationships/hyperlink" Target="https://www.youtube.com/shorts/CzDILuOiu_4" TargetMode="External"/><Relationship Id="rId19" Type="http://schemas.openxmlformats.org/officeDocument/2006/relationships/hyperlink" Target="https://youtu.be/0YZWM37yqmA" TargetMode="External"/><Relationship Id="rId31" Type="http://schemas.openxmlformats.org/officeDocument/2006/relationships/hyperlink" Target="https://youtu.be/3Httfxd2qvA" TargetMode="External"/><Relationship Id="rId4" Type="http://schemas.openxmlformats.org/officeDocument/2006/relationships/hyperlink" Target="https://youtu.be/WDhCKfUak9E" TargetMode="External"/><Relationship Id="rId9" Type="http://schemas.openxmlformats.org/officeDocument/2006/relationships/hyperlink" Target="https://www.youtube.com/shorts/CzDILuOiu_4" TargetMode="External"/><Relationship Id="rId14" Type="http://schemas.openxmlformats.org/officeDocument/2006/relationships/hyperlink" Target="https://youtu.be/9wfMo_fvMuo" TargetMode="External"/><Relationship Id="rId22" Type="http://schemas.openxmlformats.org/officeDocument/2006/relationships/hyperlink" Target="https://youtu.be/vE6uYb4oJGA" TargetMode="External"/><Relationship Id="rId27" Type="http://schemas.openxmlformats.org/officeDocument/2006/relationships/hyperlink" Target="https://youtu.be/tFx9riOUY50" TargetMode="External"/><Relationship Id="rId30" Type="http://schemas.openxmlformats.org/officeDocument/2006/relationships/hyperlink" Target="https://youtu.be/fPesKp4lHFI" TargetMode="External"/><Relationship Id="rId35" Type="http://schemas.openxmlformats.org/officeDocument/2006/relationships/hyperlink" Target="https://youtu.be/9BT_B60E5mk" TargetMode="External"/><Relationship Id="rId8" Type="http://schemas.openxmlformats.org/officeDocument/2006/relationships/hyperlink" Target="https://youtu.be/6kgnYOazB80" TargetMode="External"/><Relationship Id="rId3" Type="http://schemas.openxmlformats.org/officeDocument/2006/relationships/hyperlink" Target="https://youtu.be/WDhCKfUak9E" TargetMode="External"/><Relationship Id="rId12" Type="http://schemas.openxmlformats.org/officeDocument/2006/relationships/hyperlink" Target="https://youtu.be/afVxDGuafFw" TargetMode="External"/><Relationship Id="rId17" Type="http://schemas.openxmlformats.org/officeDocument/2006/relationships/hyperlink" Target="https://youtu.be/afVxDGuafFw" TargetMode="External"/><Relationship Id="rId25" Type="http://schemas.openxmlformats.org/officeDocument/2006/relationships/hyperlink" Target="https://youtu.be/LVSJxUldz1E" TargetMode="External"/><Relationship Id="rId33" Type="http://schemas.openxmlformats.org/officeDocument/2006/relationships/hyperlink" Target="https://youtu.be/2Kx6Ha46pRA" TargetMode="External"/><Relationship Id="rId38" Type="http://schemas.openxmlformats.org/officeDocument/2006/relationships/hyperlink" Target="https://youtu.be/CgUteMfiOTw"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youtu.be/kZKHyCo0jjY" TargetMode="External"/><Relationship Id="rId18" Type="http://schemas.openxmlformats.org/officeDocument/2006/relationships/hyperlink" Target="https://youtu.be/9BT_B60E5mk" TargetMode="External"/><Relationship Id="rId26" Type="http://schemas.openxmlformats.org/officeDocument/2006/relationships/hyperlink" Target="https://youtu.be/gEZwHJrMk4Y" TargetMode="External"/><Relationship Id="rId3" Type="http://schemas.openxmlformats.org/officeDocument/2006/relationships/hyperlink" Target="https://www.youtube.com/shorts/mvDw2BzAskg" TargetMode="External"/><Relationship Id="rId21" Type="http://schemas.openxmlformats.org/officeDocument/2006/relationships/hyperlink" Target="https://youtu.be/z62AkIUGJl4" TargetMode="External"/><Relationship Id="rId34" Type="http://schemas.openxmlformats.org/officeDocument/2006/relationships/hyperlink" Target="https://youtu.be/vLaBd_2GNcM" TargetMode="External"/><Relationship Id="rId7" Type="http://schemas.openxmlformats.org/officeDocument/2006/relationships/hyperlink" Target="https://youtu.be/C6W5iPjr2JQ" TargetMode="External"/><Relationship Id="rId12" Type="http://schemas.openxmlformats.org/officeDocument/2006/relationships/hyperlink" Target="https://youtu.be/tFx9riOUY50" TargetMode="External"/><Relationship Id="rId17" Type="http://schemas.openxmlformats.org/officeDocument/2006/relationships/hyperlink" Target="https://youtu.be/1Y4vi0pZwAs" TargetMode="External"/><Relationship Id="rId25" Type="http://schemas.openxmlformats.org/officeDocument/2006/relationships/hyperlink" Target="https://youtu.be/UzoGZi9NX00" TargetMode="External"/><Relationship Id="rId33" Type="http://schemas.openxmlformats.org/officeDocument/2006/relationships/hyperlink" Target="https://youtu.be/CgUteMfiOTw" TargetMode="External"/><Relationship Id="rId2" Type="http://schemas.openxmlformats.org/officeDocument/2006/relationships/hyperlink" Target="https://youtube.com/shorts/ESEkHt-1b-E?feature=share" TargetMode="External"/><Relationship Id="rId16" Type="http://schemas.openxmlformats.org/officeDocument/2006/relationships/hyperlink" Target="https://youtu.be/9GDWk5Mol6M" TargetMode="External"/><Relationship Id="rId20" Type="http://schemas.openxmlformats.org/officeDocument/2006/relationships/hyperlink" Target="https://youtu.be/pv8skJ9rGF8" TargetMode="External"/><Relationship Id="rId29" Type="http://schemas.openxmlformats.org/officeDocument/2006/relationships/hyperlink" Target="https://youtu.be/DT75gIYCw6g" TargetMode="External"/><Relationship Id="rId1" Type="http://schemas.openxmlformats.org/officeDocument/2006/relationships/hyperlink" Target="https://youtube.com/shorts/eX7uv8dEAPQ?feature=share" TargetMode="External"/><Relationship Id="rId6" Type="http://schemas.openxmlformats.org/officeDocument/2006/relationships/hyperlink" Target="https://youtu.be/Xja4zzHa5mc" TargetMode="External"/><Relationship Id="rId11" Type="http://schemas.openxmlformats.org/officeDocument/2006/relationships/hyperlink" Target="https://youtu.be/C6W5iPjr2JQ" TargetMode="External"/><Relationship Id="rId24" Type="http://schemas.openxmlformats.org/officeDocument/2006/relationships/hyperlink" Target="https://youtu.be/nwkAq1VFIIQ" TargetMode="External"/><Relationship Id="rId32" Type="http://schemas.openxmlformats.org/officeDocument/2006/relationships/hyperlink" Target="https://youtu.be/CgUteMfiOTw" TargetMode="External"/><Relationship Id="rId5" Type="http://schemas.openxmlformats.org/officeDocument/2006/relationships/hyperlink" Target="https://youtu.be/1wCi40DYJ6k" TargetMode="External"/><Relationship Id="rId15" Type="http://schemas.openxmlformats.org/officeDocument/2006/relationships/hyperlink" Target="https://youtu.be/THp-9SlLDBw" TargetMode="External"/><Relationship Id="rId23" Type="http://schemas.openxmlformats.org/officeDocument/2006/relationships/hyperlink" Target="https://youtu.be/RQCPdn9BA8E" TargetMode="External"/><Relationship Id="rId28" Type="http://schemas.openxmlformats.org/officeDocument/2006/relationships/hyperlink" Target="https://youtu.be/DT75gIYCw6g" TargetMode="External"/><Relationship Id="rId36" Type="http://schemas.openxmlformats.org/officeDocument/2006/relationships/drawing" Target="../drawings/drawing5.xml"/><Relationship Id="rId10" Type="http://schemas.openxmlformats.org/officeDocument/2006/relationships/hyperlink" Target="https://youtu.be/3Httfxd2qvA" TargetMode="External"/><Relationship Id="rId19" Type="http://schemas.openxmlformats.org/officeDocument/2006/relationships/hyperlink" Target="https://youtu.be/ScrqZ1eI6mI" TargetMode="External"/><Relationship Id="rId31" Type="http://schemas.openxmlformats.org/officeDocument/2006/relationships/hyperlink" Target="https://youtu.be/CgUteMfiOTw" TargetMode="External"/><Relationship Id="rId4" Type="http://schemas.openxmlformats.org/officeDocument/2006/relationships/hyperlink" Target="https://youtu.be/9wfMo_fvMuo" TargetMode="External"/><Relationship Id="rId9" Type="http://schemas.openxmlformats.org/officeDocument/2006/relationships/hyperlink" Target="https://youtu.be/0EnK7-nlb1Q" TargetMode="External"/><Relationship Id="rId14" Type="http://schemas.openxmlformats.org/officeDocument/2006/relationships/hyperlink" Target="https://youtu.be/ToLSSIzacms" TargetMode="External"/><Relationship Id="rId22" Type="http://schemas.openxmlformats.org/officeDocument/2006/relationships/hyperlink" Target="https://youtu.be/-ZYPjxtq2yQ" TargetMode="External"/><Relationship Id="rId27" Type="http://schemas.openxmlformats.org/officeDocument/2006/relationships/hyperlink" Target="https://youtu.be/DT75gIYCw6g" TargetMode="External"/><Relationship Id="rId30" Type="http://schemas.openxmlformats.org/officeDocument/2006/relationships/hyperlink" Target="https://youtu.be/OGcOEOPAvEY" TargetMode="External"/><Relationship Id="rId35" Type="http://schemas.openxmlformats.org/officeDocument/2006/relationships/printerSettings" Target="../printerSettings/printerSettings5.bin"/><Relationship Id="rId8" Type="http://schemas.openxmlformats.org/officeDocument/2006/relationships/hyperlink" Target="https://youtu.be/6kgnYOazB80"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youtu.be/wF04UF56tHU" TargetMode="External"/><Relationship Id="rId18" Type="http://schemas.openxmlformats.org/officeDocument/2006/relationships/hyperlink" Target="https://youtu.be/C6W5iPjr2JQ" TargetMode="External"/><Relationship Id="rId26" Type="http://schemas.openxmlformats.org/officeDocument/2006/relationships/hyperlink" Target="https://youtu.be/3Httfxd2qvA" TargetMode="External"/><Relationship Id="rId39" Type="http://schemas.openxmlformats.org/officeDocument/2006/relationships/hyperlink" Target="https://youtu.be/nwkAq1VFIIQ" TargetMode="External"/><Relationship Id="rId21" Type="http://schemas.openxmlformats.org/officeDocument/2006/relationships/hyperlink" Target="https://youtu.be/iXenFMX3OaM" TargetMode="External"/><Relationship Id="rId34" Type="http://schemas.openxmlformats.org/officeDocument/2006/relationships/hyperlink" Target="https://youtu.be/-ZYPjxtq2yQ" TargetMode="External"/><Relationship Id="rId42" Type="http://schemas.openxmlformats.org/officeDocument/2006/relationships/hyperlink" Target="https://youtu.be/DT75gIYCw6g" TargetMode="External"/><Relationship Id="rId47" Type="http://schemas.openxmlformats.org/officeDocument/2006/relationships/drawing" Target="../drawings/drawing6.xml"/><Relationship Id="rId7" Type="http://schemas.openxmlformats.org/officeDocument/2006/relationships/hyperlink" Target="https://www.youtube.com/shorts/mvDw2BzAskg" TargetMode="External"/><Relationship Id="rId2" Type="http://schemas.openxmlformats.org/officeDocument/2006/relationships/hyperlink" Target="https://youtu.be/1wCi40DYJ6k" TargetMode="External"/><Relationship Id="rId16" Type="http://schemas.openxmlformats.org/officeDocument/2006/relationships/hyperlink" Target="https://youtu.be/0YZWM37yqmA" TargetMode="External"/><Relationship Id="rId29" Type="http://schemas.openxmlformats.org/officeDocument/2006/relationships/hyperlink" Target="https://youtu.be/THp-9SlLDBw" TargetMode="External"/><Relationship Id="rId1" Type="http://schemas.openxmlformats.org/officeDocument/2006/relationships/hyperlink" Target="https://youtu.be/9wfMo_fvMuo" TargetMode="External"/><Relationship Id="rId6" Type="http://schemas.openxmlformats.org/officeDocument/2006/relationships/hyperlink" Target="https://youtube.com/shorts/ESEkHt-1b-E?feature=share" TargetMode="External"/><Relationship Id="rId11" Type="http://schemas.openxmlformats.org/officeDocument/2006/relationships/hyperlink" Target="https://youtu.be/ToLSSIzacms" TargetMode="External"/><Relationship Id="rId24" Type="http://schemas.openxmlformats.org/officeDocument/2006/relationships/hyperlink" Target="https://youtu.be/2Kx6Ha46pRA" TargetMode="External"/><Relationship Id="rId32" Type="http://schemas.openxmlformats.org/officeDocument/2006/relationships/hyperlink" Target="https://youtu.be/afVxDGuafFw" TargetMode="External"/><Relationship Id="rId37" Type="http://schemas.openxmlformats.org/officeDocument/2006/relationships/hyperlink" Target="https://youtu.be/ScrqZ1eI6mI" TargetMode="External"/><Relationship Id="rId40" Type="http://schemas.openxmlformats.org/officeDocument/2006/relationships/hyperlink" Target="https://youtu.be/UzoGZi9NX00" TargetMode="External"/><Relationship Id="rId45" Type="http://schemas.openxmlformats.org/officeDocument/2006/relationships/hyperlink" Target="https://youtu.be/vLaBd_2GNcM" TargetMode="External"/><Relationship Id="rId5" Type="http://schemas.openxmlformats.org/officeDocument/2006/relationships/hyperlink" Target="https://youtu.be/6kgnYOazB80" TargetMode="External"/><Relationship Id="rId15" Type="http://schemas.openxmlformats.org/officeDocument/2006/relationships/hyperlink" Target="https://youtu.be/fCu0tFPrves" TargetMode="External"/><Relationship Id="rId23" Type="http://schemas.openxmlformats.org/officeDocument/2006/relationships/hyperlink" Target="https://youtu.be/9BT_B60E5mk" TargetMode="External"/><Relationship Id="rId28" Type="http://schemas.openxmlformats.org/officeDocument/2006/relationships/hyperlink" Target="https://youtu.be/LVSJxUldz1E" TargetMode="External"/><Relationship Id="rId36" Type="http://schemas.openxmlformats.org/officeDocument/2006/relationships/hyperlink" Target="https://youtu.be/pv8skJ9rGF8" TargetMode="External"/><Relationship Id="rId10" Type="http://schemas.openxmlformats.org/officeDocument/2006/relationships/hyperlink" Target="https://youtu.be/1Y4vi0pZwAs" TargetMode="External"/><Relationship Id="rId19" Type="http://schemas.openxmlformats.org/officeDocument/2006/relationships/hyperlink" Target="https://youtu.be/kZKHyCo0jjY" TargetMode="External"/><Relationship Id="rId31" Type="http://schemas.openxmlformats.org/officeDocument/2006/relationships/hyperlink" Target="https://youtu.be/ToLSSIzacms" TargetMode="External"/><Relationship Id="rId44" Type="http://schemas.openxmlformats.org/officeDocument/2006/relationships/hyperlink" Target="https://youtu.be/CgUteMfiOTw" TargetMode="External"/><Relationship Id="rId4" Type="http://schemas.openxmlformats.org/officeDocument/2006/relationships/hyperlink" Target="https://youtube.com/shorts/eX7uv8dEAPQ?feature=share" TargetMode="External"/><Relationship Id="rId9" Type="http://schemas.openxmlformats.org/officeDocument/2006/relationships/hyperlink" Target="https://www.youtube.com/shorts/mUPpnbb27fs" TargetMode="External"/><Relationship Id="rId14" Type="http://schemas.openxmlformats.org/officeDocument/2006/relationships/hyperlink" Target="https://youtu.be/LVSJxUldz1E" TargetMode="External"/><Relationship Id="rId22" Type="http://schemas.openxmlformats.org/officeDocument/2006/relationships/hyperlink" Target="https://youtu.be/tFx9riOUY50" TargetMode="External"/><Relationship Id="rId27" Type="http://schemas.openxmlformats.org/officeDocument/2006/relationships/hyperlink" Target="https://youtu.be/fPesKp4lHFI" TargetMode="External"/><Relationship Id="rId30" Type="http://schemas.openxmlformats.org/officeDocument/2006/relationships/hyperlink" Target="https://youtu.be/0EnK7-nlb1Q" TargetMode="External"/><Relationship Id="rId35" Type="http://schemas.openxmlformats.org/officeDocument/2006/relationships/hyperlink" Target="https://youtu.be/z62AkIUGJl4" TargetMode="External"/><Relationship Id="rId43" Type="http://schemas.openxmlformats.org/officeDocument/2006/relationships/hyperlink" Target="https://youtu.be/OGcOEOPAvEY" TargetMode="External"/><Relationship Id="rId8" Type="http://schemas.openxmlformats.org/officeDocument/2006/relationships/hyperlink" Target="https://youtu.be/vE6uYb4oJGA" TargetMode="External"/><Relationship Id="rId3" Type="http://schemas.openxmlformats.org/officeDocument/2006/relationships/hyperlink" Target="https://youtu.be/Xja4zzHa5mc" TargetMode="External"/><Relationship Id="rId12" Type="http://schemas.openxmlformats.org/officeDocument/2006/relationships/hyperlink" Target="https://youtu.be/afVxDGuafFw" TargetMode="External"/><Relationship Id="rId17" Type="http://schemas.openxmlformats.org/officeDocument/2006/relationships/hyperlink" Target="https://youtu.be/9GDWk5Mol6M" TargetMode="External"/><Relationship Id="rId25" Type="http://schemas.openxmlformats.org/officeDocument/2006/relationships/hyperlink" Target="https://youtu.be/0Me33ymxTT0" TargetMode="External"/><Relationship Id="rId33" Type="http://schemas.openxmlformats.org/officeDocument/2006/relationships/hyperlink" Target="https://youtu.be/RQCPdn9BA8E" TargetMode="External"/><Relationship Id="rId38" Type="http://schemas.openxmlformats.org/officeDocument/2006/relationships/hyperlink" Target="https://youtu.be/vt5xaNq5qg0" TargetMode="External"/><Relationship Id="rId46" Type="http://schemas.openxmlformats.org/officeDocument/2006/relationships/printerSettings" Target="../printerSettings/printerSettings6.bin"/><Relationship Id="rId20" Type="http://schemas.openxmlformats.org/officeDocument/2006/relationships/hyperlink" Target="https://youtu.be/H413pscp-4o" TargetMode="External"/><Relationship Id="rId41" Type="http://schemas.openxmlformats.org/officeDocument/2006/relationships/hyperlink" Target="https://youtu.be/gEZwHJrMk4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82"/>
  <sheetViews>
    <sheetView tabSelected="1" topLeftCell="A3" zoomScaleNormal="100" workbookViewId="0">
      <selection activeCell="C14" sqref="C14:J14"/>
    </sheetView>
  </sheetViews>
  <sheetFormatPr defaultColWidth="12.625" defaultRowHeight="15" customHeight="1"/>
  <cols>
    <col min="1" max="2" width="8.375" style="3" customWidth="1"/>
    <col min="3" max="3" width="19.125" style="3" customWidth="1"/>
    <col min="4" max="4" width="18" style="3" customWidth="1"/>
    <col min="5" max="5" width="24.375" style="3" customWidth="1"/>
    <col min="6" max="6" width="16.375" style="3" customWidth="1"/>
    <col min="7" max="7" width="17.875" style="3" customWidth="1"/>
    <col min="8" max="8" width="22" style="3" customWidth="1"/>
    <col min="9" max="9" width="23.375" style="3" customWidth="1"/>
    <col min="10" max="10" width="20.375" style="3" customWidth="1"/>
    <col min="11" max="11" width="11.875" style="3" customWidth="1"/>
    <col min="12" max="12" width="10.5" style="3" customWidth="1"/>
    <col min="13" max="13" width="9.875" style="3" customWidth="1"/>
    <col min="14" max="26" width="7.625" style="3" customWidth="1"/>
    <col min="27" max="16384" width="12.625" style="3"/>
  </cols>
  <sheetData>
    <row r="1" spans="1:22" ht="30" customHeight="1">
      <c r="A1" s="1"/>
      <c r="B1" s="1"/>
      <c r="C1" s="2"/>
      <c r="D1" s="2"/>
      <c r="E1" s="1"/>
      <c r="F1" s="1"/>
      <c r="G1" s="1"/>
      <c r="H1" s="1"/>
      <c r="I1" s="1"/>
      <c r="J1" s="1"/>
      <c r="K1" s="1"/>
      <c r="L1" s="1"/>
      <c r="M1" s="1"/>
      <c r="N1" s="1"/>
      <c r="O1" s="1"/>
      <c r="P1" s="1"/>
      <c r="Q1" s="1"/>
      <c r="R1" s="1"/>
      <c r="S1" s="1"/>
      <c r="T1" s="1"/>
      <c r="U1" s="1"/>
      <c r="V1" s="1"/>
    </row>
    <row r="2" spans="1:22" ht="30" customHeight="1">
      <c r="A2" s="1"/>
      <c r="B2" s="1"/>
      <c r="C2" s="377" t="s">
        <v>171</v>
      </c>
      <c r="D2" s="378"/>
      <c r="E2" s="378"/>
      <c r="F2" s="378"/>
      <c r="G2" s="378"/>
      <c r="H2" s="378"/>
      <c r="I2" s="378"/>
      <c r="J2" s="378"/>
      <c r="K2" s="1"/>
      <c r="L2" s="1"/>
      <c r="M2" s="1"/>
      <c r="N2" s="1"/>
      <c r="O2" s="1"/>
      <c r="P2" s="1"/>
      <c r="Q2" s="1"/>
      <c r="R2" s="1"/>
      <c r="S2" s="1"/>
      <c r="T2" s="1"/>
      <c r="U2" s="1"/>
      <c r="V2" s="1"/>
    </row>
    <row r="3" spans="1:22" ht="30" customHeight="1">
      <c r="A3" s="1"/>
      <c r="B3" s="1"/>
      <c r="C3" s="379"/>
      <c r="D3" s="380"/>
      <c r="E3" s="380"/>
      <c r="F3" s="380"/>
      <c r="G3" s="380"/>
      <c r="H3" s="380"/>
      <c r="I3" s="380"/>
      <c r="J3" s="380"/>
      <c r="K3" s="1"/>
      <c r="L3" s="1"/>
      <c r="M3" s="1"/>
      <c r="N3" s="1"/>
      <c r="O3" s="1"/>
      <c r="P3" s="1"/>
      <c r="Q3" s="1"/>
      <c r="R3" s="1"/>
      <c r="S3" s="1"/>
      <c r="T3" s="1"/>
      <c r="U3" s="1"/>
      <c r="V3" s="1"/>
    </row>
    <row r="4" spans="1:22" ht="30" customHeight="1">
      <c r="A4" s="1"/>
      <c r="B4" s="1"/>
      <c r="C4" s="379"/>
      <c r="D4" s="380"/>
      <c r="E4" s="380"/>
      <c r="F4" s="380"/>
      <c r="G4" s="380"/>
      <c r="H4" s="380"/>
      <c r="I4" s="380"/>
      <c r="J4" s="380"/>
      <c r="K4" s="1"/>
      <c r="L4" s="1"/>
      <c r="M4" s="1"/>
      <c r="N4" s="1"/>
      <c r="O4" s="1"/>
      <c r="P4" s="1"/>
      <c r="Q4" s="1"/>
      <c r="R4" s="1"/>
      <c r="S4" s="1"/>
      <c r="T4" s="1"/>
      <c r="U4" s="1"/>
      <c r="V4" s="1"/>
    </row>
    <row r="5" spans="1:22" ht="30" customHeight="1">
      <c r="A5" s="1"/>
      <c r="B5" s="1"/>
      <c r="C5" s="379"/>
      <c r="D5" s="380"/>
      <c r="E5" s="380"/>
      <c r="F5" s="380"/>
      <c r="G5" s="380"/>
      <c r="H5" s="380"/>
      <c r="I5" s="380"/>
      <c r="J5" s="380"/>
      <c r="K5" s="1"/>
      <c r="L5" s="1"/>
      <c r="M5" s="1"/>
      <c r="N5" s="1"/>
      <c r="O5" s="1"/>
      <c r="P5" s="1"/>
      <c r="Q5" s="1"/>
      <c r="R5" s="1"/>
      <c r="S5" s="1"/>
      <c r="T5" s="1"/>
      <c r="U5" s="1"/>
      <c r="V5" s="1"/>
    </row>
    <row r="6" spans="1:22" ht="30" customHeight="1">
      <c r="A6" s="1"/>
      <c r="B6" s="1"/>
      <c r="C6" s="4"/>
      <c r="D6" s="4"/>
      <c r="E6" s="5"/>
      <c r="F6" s="5"/>
      <c r="G6" s="5"/>
      <c r="H6" s="5"/>
      <c r="I6" s="5"/>
      <c r="J6" s="5"/>
      <c r="K6" s="1"/>
      <c r="L6" s="1"/>
      <c r="M6" s="1"/>
      <c r="N6" s="1"/>
      <c r="O6" s="1"/>
      <c r="P6" s="1"/>
      <c r="Q6" s="1"/>
      <c r="R6" s="1"/>
      <c r="S6" s="1"/>
      <c r="T6" s="1"/>
      <c r="U6" s="1"/>
      <c r="V6" s="1"/>
    </row>
    <row r="7" spans="1:22" ht="14.25" customHeight="1" thickBot="1">
      <c r="A7" s="1"/>
      <c r="B7" s="6"/>
      <c r="C7" s="381" t="s">
        <v>0</v>
      </c>
      <c r="D7" s="382"/>
      <c r="E7" s="382"/>
      <c r="F7" s="382"/>
      <c r="G7" s="382"/>
      <c r="H7" s="382"/>
      <c r="I7" s="382"/>
      <c r="J7" s="383"/>
      <c r="K7" s="7"/>
      <c r="L7" s="1"/>
      <c r="M7" s="1"/>
      <c r="N7" s="1"/>
      <c r="O7" s="1"/>
      <c r="P7" s="1"/>
      <c r="Q7" s="1"/>
      <c r="R7" s="1"/>
      <c r="S7" s="1"/>
      <c r="T7" s="1"/>
      <c r="U7" s="1"/>
      <c r="V7" s="1"/>
    </row>
    <row r="8" spans="1:22" ht="14.25" customHeight="1" thickBot="1">
      <c r="A8" s="8"/>
      <c r="B8" s="6"/>
      <c r="C8" s="56" t="s">
        <v>1</v>
      </c>
      <c r="D8" s="57" t="s">
        <v>2</v>
      </c>
      <c r="E8" s="57" t="s">
        <v>3</v>
      </c>
      <c r="F8" s="57" t="s">
        <v>4</v>
      </c>
      <c r="G8" s="57" t="s">
        <v>5</v>
      </c>
      <c r="H8" s="57" t="s">
        <v>6</v>
      </c>
      <c r="I8" s="57" t="s">
        <v>7</v>
      </c>
      <c r="J8" s="57" t="s">
        <v>8</v>
      </c>
      <c r="K8" s="7"/>
      <c r="L8" s="1"/>
      <c r="M8" s="1"/>
      <c r="N8" s="1"/>
      <c r="O8" s="1"/>
      <c r="P8" s="1"/>
      <c r="Q8" s="1"/>
      <c r="R8" s="1"/>
      <c r="S8" s="1"/>
      <c r="T8" s="1"/>
      <c r="U8" s="1"/>
      <c r="V8" s="1"/>
    </row>
    <row r="9" spans="1:22" ht="14.25" customHeight="1" thickBot="1">
      <c r="A9" s="8"/>
      <c r="B9" s="6"/>
      <c r="C9" s="367" t="s">
        <v>259</v>
      </c>
      <c r="D9" s="58" t="s">
        <v>245</v>
      </c>
      <c r="E9" s="59">
        <v>46314</v>
      </c>
      <c r="F9" s="60">
        <v>84</v>
      </c>
      <c r="G9" s="61">
        <v>78.3</v>
      </c>
      <c r="H9" s="60">
        <v>16</v>
      </c>
      <c r="I9" s="60">
        <v>14</v>
      </c>
      <c r="J9" s="59">
        <f>E9+56</f>
        <v>46370</v>
      </c>
      <c r="K9" s="7"/>
      <c r="L9" s="1"/>
      <c r="M9" s="1"/>
      <c r="N9" s="1"/>
      <c r="O9" s="1"/>
      <c r="P9" s="1"/>
      <c r="Q9" s="1"/>
      <c r="R9" s="1"/>
      <c r="S9" s="1"/>
      <c r="T9" s="1"/>
      <c r="U9" s="1"/>
      <c r="V9" s="1"/>
    </row>
    <row r="10" spans="1:22" ht="14.25" customHeight="1">
      <c r="A10" s="8"/>
      <c r="B10" s="1"/>
      <c r="C10" s="9"/>
      <c r="D10" s="9"/>
      <c r="E10" s="10"/>
      <c r="F10" s="11"/>
      <c r="G10" s="11"/>
      <c r="H10" s="12"/>
      <c r="I10" s="13"/>
      <c r="J10" s="14"/>
      <c r="K10" s="1"/>
      <c r="L10" s="1"/>
      <c r="M10" s="1"/>
      <c r="N10" s="1"/>
      <c r="O10" s="1"/>
      <c r="P10" s="1"/>
      <c r="Q10" s="1"/>
      <c r="R10" s="1"/>
      <c r="S10" s="1"/>
      <c r="T10" s="1"/>
      <c r="U10" s="1"/>
      <c r="V10" s="1"/>
    </row>
    <row r="11" spans="1:22" ht="14.25" customHeight="1" thickBot="1">
      <c r="A11" s="8"/>
      <c r="B11" s="1"/>
      <c r="C11" s="15"/>
      <c r="D11" s="16"/>
      <c r="E11" s="47" t="s">
        <v>9</v>
      </c>
      <c r="F11" s="374" t="s">
        <v>10</v>
      </c>
      <c r="G11" s="382"/>
      <c r="H11" s="62" t="s">
        <v>11</v>
      </c>
      <c r="I11" s="17"/>
      <c r="J11" s="18"/>
      <c r="K11" s="1"/>
      <c r="L11" s="1"/>
      <c r="M11" s="1"/>
      <c r="N11" s="1"/>
      <c r="O11" s="1"/>
      <c r="P11" s="1"/>
      <c r="Q11" s="1"/>
      <c r="R11" s="1"/>
      <c r="S11" s="1"/>
      <c r="T11" s="1"/>
      <c r="U11" s="1"/>
      <c r="V11" s="1"/>
    </row>
    <row r="12" spans="1:22" ht="14.25" customHeight="1">
      <c r="A12" s="8"/>
      <c r="B12" s="1"/>
      <c r="C12" s="15"/>
      <c r="D12" s="16"/>
      <c r="E12" s="63">
        <f>F9-F12</f>
        <v>70.56</v>
      </c>
      <c r="F12" s="384">
        <f>F9/100*H9</f>
        <v>13.44</v>
      </c>
      <c r="G12" s="385"/>
      <c r="H12" s="64">
        <f>G9-F9</f>
        <v>-5.7000000000000028</v>
      </c>
      <c r="I12" s="17"/>
      <c r="J12" s="18"/>
      <c r="K12" s="1"/>
      <c r="L12" s="1"/>
      <c r="M12" s="1"/>
      <c r="N12" s="1"/>
      <c r="O12" s="1"/>
      <c r="P12" s="1"/>
      <c r="Q12" s="1"/>
      <c r="R12" s="1"/>
      <c r="S12" s="1"/>
      <c r="T12" s="1"/>
      <c r="U12" s="1"/>
      <c r="V12" s="1"/>
    </row>
    <row r="13" spans="1:22" ht="14.25" customHeight="1">
      <c r="A13" s="8"/>
      <c r="B13" s="1"/>
      <c r="C13" s="19"/>
      <c r="D13" s="19"/>
      <c r="E13" s="10"/>
      <c r="F13" s="11"/>
      <c r="G13" s="11"/>
      <c r="H13" s="12"/>
      <c r="I13" s="20"/>
      <c r="J13" s="21"/>
      <c r="K13" s="1"/>
      <c r="L13" s="1"/>
      <c r="M13" s="1"/>
      <c r="N13" s="1"/>
      <c r="O13" s="1"/>
      <c r="P13" s="1"/>
      <c r="Q13" s="1"/>
      <c r="R13" s="1"/>
      <c r="S13" s="1"/>
      <c r="T13" s="1"/>
      <c r="U13" s="1"/>
      <c r="V13" s="1"/>
    </row>
    <row r="14" spans="1:22" ht="14.25" customHeight="1" thickBot="1">
      <c r="A14" s="8"/>
      <c r="B14" s="6"/>
      <c r="C14" s="381" t="s">
        <v>12</v>
      </c>
      <c r="D14" s="382"/>
      <c r="E14" s="382"/>
      <c r="F14" s="382"/>
      <c r="G14" s="382"/>
      <c r="H14" s="382"/>
      <c r="I14" s="382"/>
      <c r="J14" s="383"/>
      <c r="K14" s="22"/>
      <c r="L14" s="1"/>
      <c r="M14" s="1"/>
      <c r="N14" s="1"/>
      <c r="O14" s="1"/>
      <c r="P14" s="1"/>
      <c r="Q14" s="1"/>
      <c r="R14" s="1"/>
      <c r="S14" s="1"/>
      <c r="T14" s="1"/>
      <c r="U14" s="1"/>
      <c r="V14" s="1"/>
    </row>
    <row r="15" spans="1:22" ht="14.25" customHeight="1">
      <c r="A15" s="8"/>
      <c r="B15" s="23"/>
      <c r="C15" s="51" t="s">
        <v>13</v>
      </c>
      <c r="D15" s="51" t="s">
        <v>14</v>
      </c>
      <c r="E15" s="51" t="s">
        <v>15</v>
      </c>
      <c r="F15" s="51" t="s">
        <v>16</v>
      </c>
      <c r="G15" s="51" t="s">
        <v>17</v>
      </c>
      <c r="H15" s="51" t="s">
        <v>18</v>
      </c>
      <c r="I15" s="51" t="s">
        <v>19</v>
      </c>
      <c r="J15" s="51" t="s">
        <v>20</v>
      </c>
      <c r="K15" s="24"/>
      <c r="L15" s="1"/>
      <c r="M15" s="1"/>
      <c r="N15" s="1"/>
      <c r="O15" s="1"/>
      <c r="P15" s="1"/>
      <c r="Q15" s="1"/>
      <c r="R15" s="1"/>
      <c r="S15" s="1"/>
      <c r="T15" s="1"/>
      <c r="U15" s="1"/>
      <c r="V15" s="1"/>
    </row>
    <row r="16" spans="1:22" ht="14.25" customHeight="1">
      <c r="A16" s="386"/>
      <c r="B16" s="387"/>
      <c r="C16" s="65">
        <f>E9</f>
        <v>46314</v>
      </c>
      <c r="D16" s="66">
        <f t="shared" ref="D16:J16" si="0">C16+7</f>
        <v>46321</v>
      </c>
      <c r="E16" s="66">
        <f t="shared" si="0"/>
        <v>46328</v>
      </c>
      <c r="F16" s="66">
        <f t="shared" si="0"/>
        <v>46335</v>
      </c>
      <c r="G16" s="66">
        <f t="shared" si="0"/>
        <v>46342</v>
      </c>
      <c r="H16" s="66">
        <f t="shared" si="0"/>
        <v>46349</v>
      </c>
      <c r="I16" s="66">
        <f t="shared" si="0"/>
        <v>46356</v>
      </c>
      <c r="J16" s="67">
        <f t="shared" si="0"/>
        <v>46363</v>
      </c>
      <c r="K16" s="7"/>
      <c r="L16" s="1"/>
      <c r="M16" s="1"/>
      <c r="N16" s="1"/>
      <c r="O16" s="1"/>
      <c r="P16" s="1"/>
      <c r="Q16" s="1"/>
      <c r="R16" s="1"/>
      <c r="S16" s="1"/>
      <c r="T16" s="1"/>
      <c r="U16" s="1"/>
      <c r="V16" s="1"/>
    </row>
    <row r="17" spans="1:22" ht="14.25" customHeight="1">
      <c r="A17" s="25"/>
      <c r="B17" s="26"/>
      <c r="C17" s="68">
        <f>F9</f>
        <v>84</v>
      </c>
      <c r="D17" s="69">
        <f t="shared" ref="D17:J17" si="1">C17/100*99</f>
        <v>83.16</v>
      </c>
      <c r="E17" s="69">
        <f t="shared" si="1"/>
        <v>82.328400000000002</v>
      </c>
      <c r="F17" s="69">
        <f t="shared" si="1"/>
        <v>81.505116000000001</v>
      </c>
      <c r="G17" s="69">
        <f t="shared" si="1"/>
        <v>80.690064840000005</v>
      </c>
      <c r="H17" s="69">
        <f t="shared" si="1"/>
        <v>79.883164191600002</v>
      </c>
      <c r="I17" s="69">
        <f t="shared" si="1"/>
        <v>79.084332549683992</v>
      </c>
      <c r="J17" s="64">
        <f t="shared" si="1"/>
        <v>78.293489224187155</v>
      </c>
      <c r="K17" s="27"/>
      <c r="L17" s="28"/>
      <c r="M17" s="28"/>
      <c r="N17" s="29"/>
      <c r="O17" s="1"/>
      <c r="P17" s="1"/>
      <c r="Q17" s="1"/>
      <c r="R17" s="1"/>
      <c r="S17" s="1"/>
      <c r="T17" s="1"/>
      <c r="U17" s="1"/>
      <c r="V17" s="1"/>
    </row>
    <row r="18" spans="1:22" ht="18" customHeight="1">
      <c r="A18" s="30"/>
      <c r="B18" s="30"/>
      <c r="C18" s="31"/>
      <c r="D18" s="31"/>
      <c r="E18" s="32"/>
      <c r="F18" s="32"/>
      <c r="G18" s="32"/>
      <c r="H18" s="32"/>
      <c r="I18" s="31"/>
      <c r="J18" s="31"/>
      <c r="K18" s="1"/>
      <c r="L18" s="1"/>
      <c r="M18" s="1"/>
      <c r="N18" s="1"/>
      <c r="O18" s="1"/>
      <c r="P18" s="1"/>
      <c r="Q18" s="1"/>
      <c r="R18" s="1"/>
      <c r="S18" s="1"/>
      <c r="T18" s="1"/>
      <c r="U18" s="1"/>
      <c r="V18" s="1"/>
    </row>
    <row r="19" spans="1:22" ht="14.25" customHeight="1" thickBot="1">
      <c r="A19" s="1"/>
      <c r="B19" s="1"/>
      <c r="C19" s="1"/>
      <c r="D19" s="6"/>
      <c r="E19" s="381" t="s">
        <v>21</v>
      </c>
      <c r="F19" s="382"/>
      <c r="G19" s="382"/>
      <c r="H19" s="383"/>
      <c r="I19" s="33"/>
      <c r="J19" s="34"/>
      <c r="K19" s="1"/>
      <c r="L19" s="1"/>
      <c r="M19" s="1"/>
      <c r="N19" s="1"/>
      <c r="O19" s="1"/>
      <c r="P19" s="1"/>
      <c r="Q19" s="1"/>
      <c r="R19" s="1"/>
      <c r="S19" s="1"/>
      <c r="T19" s="1"/>
      <c r="U19" s="1"/>
      <c r="V19" s="1"/>
    </row>
    <row r="20" spans="1:22" ht="14.25" customHeight="1">
      <c r="A20" s="15"/>
      <c r="B20" s="15"/>
      <c r="C20" s="1"/>
      <c r="D20" s="6"/>
      <c r="E20" s="51" t="s">
        <v>22</v>
      </c>
      <c r="F20" s="51" t="s">
        <v>23</v>
      </c>
      <c r="G20" s="51" t="s">
        <v>24</v>
      </c>
      <c r="H20" s="52" t="s">
        <v>25</v>
      </c>
      <c r="I20" s="35"/>
      <c r="J20" s="34"/>
      <c r="K20" s="1"/>
      <c r="L20" s="1"/>
      <c r="M20" s="1"/>
      <c r="N20" s="1"/>
      <c r="O20" s="1"/>
      <c r="P20" s="1"/>
      <c r="Q20" s="1"/>
      <c r="R20" s="1"/>
      <c r="S20" s="1"/>
      <c r="T20" s="1"/>
      <c r="U20" s="1"/>
      <c r="V20" s="1"/>
    </row>
    <row r="21" spans="1:22" ht="14.25" customHeight="1">
      <c r="A21" s="15"/>
      <c r="B21" s="15"/>
      <c r="C21" s="1"/>
      <c r="D21" s="36"/>
      <c r="E21" s="53">
        <f>(E12*2.2)*14</f>
        <v>2173.2480000000005</v>
      </c>
      <c r="F21" s="54">
        <v>150</v>
      </c>
      <c r="G21" s="54">
        <f>(E21*0.3)/9</f>
        <v>72.441600000000022</v>
      </c>
      <c r="H21" s="55">
        <f>((E21-(L21+L25))/4)</f>
        <v>230.31840000000011</v>
      </c>
      <c r="I21" s="37"/>
      <c r="J21" s="34"/>
      <c r="L21" s="1">
        <f>F21*4</f>
        <v>600</v>
      </c>
      <c r="M21" s="1"/>
      <c r="N21" s="1"/>
      <c r="O21" s="1"/>
      <c r="P21" s="1"/>
      <c r="Q21" s="1"/>
      <c r="R21" s="1"/>
      <c r="S21" s="1"/>
      <c r="T21" s="1"/>
      <c r="U21" s="1"/>
      <c r="V21" s="1"/>
    </row>
    <row r="22" spans="1:22" ht="18" customHeight="1">
      <c r="A22" s="38"/>
      <c r="B22" s="1"/>
      <c r="C22" s="1"/>
      <c r="D22" s="1"/>
      <c r="E22" s="39"/>
      <c r="F22" s="40"/>
      <c r="G22" s="41"/>
      <c r="H22" s="42"/>
      <c r="I22" s="1"/>
      <c r="J22" s="1"/>
      <c r="K22" s="1"/>
      <c r="L22" s="1"/>
      <c r="M22" s="1"/>
      <c r="N22" s="1"/>
      <c r="O22" s="1"/>
      <c r="P22" s="1"/>
      <c r="Q22" s="1"/>
      <c r="R22" s="1"/>
      <c r="S22" s="1"/>
      <c r="T22" s="1"/>
      <c r="U22" s="1"/>
      <c r="V22" s="1"/>
    </row>
    <row r="23" spans="1:22" ht="18" customHeight="1" thickBot="1">
      <c r="A23" s="38"/>
      <c r="B23" s="1"/>
      <c r="C23" s="1"/>
      <c r="D23" s="6"/>
      <c r="E23" s="381" t="s">
        <v>26</v>
      </c>
      <c r="F23" s="382"/>
      <c r="G23" s="382"/>
      <c r="H23" s="383"/>
      <c r="I23" s="7"/>
      <c r="J23" s="1"/>
      <c r="K23" s="1"/>
      <c r="L23" s="1"/>
      <c r="M23" s="1"/>
      <c r="N23" s="1"/>
      <c r="O23" s="1"/>
      <c r="P23" s="1"/>
      <c r="Q23" s="1"/>
      <c r="R23" s="1"/>
      <c r="S23" s="1"/>
      <c r="T23" s="1"/>
      <c r="U23" s="1"/>
      <c r="V23" s="1"/>
    </row>
    <row r="24" spans="1:22" ht="18" customHeight="1">
      <c r="A24" s="38"/>
      <c r="B24" s="1"/>
      <c r="C24" s="1"/>
      <c r="D24" s="6"/>
      <c r="E24" s="388">
        <f>(F9*2.2)*0.67/33.814</f>
        <v>3.6616785946649322</v>
      </c>
      <c r="F24" s="389"/>
      <c r="G24" s="389"/>
      <c r="H24" s="390"/>
      <c r="I24" s="7"/>
      <c r="J24" s="1"/>
      <c r="K24" s="1"/>
      <c r="L24" s="1"/>
      <c r="M24" s="1"/>
      <c r="N24" s="1"/>
      <c r="O24" s="1"/>
      <c r="P24" s="1"/>
      <c r="Q24" s="1"/>
      <c r="R24" s="1"/>
      <c r="S24" s="1"/>
      <c r="T24" s="1"/>
      <c r="U24" s="1"/>
      <c r="V24" s="1"/>
    </row>
    <row r="25" spans="1:22" ht="18" customHeight="1">
      <c r="A25" s="38"/>
      <c r="B25" s="1"/>
      <c r="C25" s="1"/>
      <c r="D25" s="1"/>
      <c r="E25" s="41"/>
      <c r="F25" s="40"/>
      <c r="G25" s="41"/>
      <c r="H25" s="40"/>
      <c r="I25" s="1"/>
      <c r="J25" s="1"/>
      <c r="L25" s="1">
        <f>G21*9</f>
        <v>651.97440000000017</v>
      </c>
      <c r="M25" s="1"/>
      <c r="N25" s="1"/>
      <c r="O25" s="1"/>
      <c r="P25" s="1"/>
      <c r="Q25" s="1"/>
      <c r="R25" s="1"/>
      <c r="S25" s="1"/>
      <c r="T25" s="1"/>
      <c r="U25" s="1"/>
      <c r="V25" s="1"/>
    </row>
    <row r="26" spans="1:22" ht="14.25" customHeight="1" thickBot="1">
      <c r="A26" s="1"/>
      <c r="B26" s="1"/>
      <c r="C26" s="1"/>
      <c r="D26" s="373" t="s">
        <v>27</v>
      </c>
      <c r="E26" s="374"/>
      <c r="F26" s="374"/>
      <c r="G26" s="374"/>
      <c r="H26" s="374"/>
      <c r="I26" s="374"/>
      <c r="K26" s="15"/>
      <c r="L26" s="1"/>
      <c r="M26" s="1"/>
      <c r="N26" s="1"/>
      <c r="O26" s="1"/>
      <c r="P26" s="1"/>
      <c r="Q26" s="1"/>
      <c r="R26" s="1"/>
      <c r="S26" s="1"/>
      <c r="T26" s="1"/>
      <c r="U26" s="1"/>
      <c r="V26" s="1"/>
    </row>
    <row r="27" spans="1:22" ht="14.25" customHeight="1">
      <c r="A27" s="386"/>
      <c r="B27" s="387"/>
      <c r="C27" s="43"/>
      <c r="D27" s="375" t="s">
        <v>188</v>
      </c>
      <c r="E27" s="376"/>
      <c r="F27" s="375" t="s">
        <v>28</v>
      </c>
      <c r="G27" s="376"/>
      <c r="H27" s="375" t="s">
        <v>179</v>
      </c>
      <c r="I27" s="376"/>
      <c r="K27" s="1"/>
      <c r="L27" s="1"/>
      <c r="M27" s="1"/>
      <c r="N27" s="1"/>
      <c r="O27" s="1"/>
      <c r="P27" s="1"/>
      <c r="Q27" s="1"/>
      <c r="R27" s="1"/>
      <c r="S27" s="1"/>
      <c r="T27" s="1"/>
      <c r="U27" s="1"/>
      <c r="V27" s="1"/>
    </row>
    <row r="28" spans="1:22" ht="14.25" customHeight="1">
      <c r="A28" s="30"/>
      <c r="B28" s="30"/>
      <c r="C28" s="48" t="s">
        <v>180</v>
      </c>
      <c r="D28" s="372">
        <v>10000</v>
      </c>
      <c r="E28" s="372"/>
      <c r="F28" s="369" t="s">
        <v>178</v>
      </c>
      <c r="G28" s="369"/>
      <c r="H28" s="369" t="s">
        <v>258</v>
      </c>
      <c r="I28" s="369"/>
      <c r="K28" s="44"/>
      <c r="L28" s="44"/>
      <c r="M28" s="44"/>
      <c r="N28" s="45"/>
      <c r="O28" s="45"/>
      <c r="P28" s="1"/>
      <c r="Q28" s="1"/>
      <c r="R28" s="1"/>
      <c r="S28" s="1"/>
      <c r="T28" s="1"/>
      <c r="U28" s="1"/>
      <c r="V28" s="1"/>
    </row>
    <row r="29" spans="1:22" ht="14.25" customHeight="1">
      <c r="A29" s="1"/>
      <c r="B29" s="1"/>
      <c r="C29" s="49" t="s">
        <v>181</v>
      </c>
      <c r="D29" s="370">
        <v>11000</v>
      </c>
      <c r="E29" s="371"/>
      <c r="F29" s="372" t="s">
        <v>178</v>
      </c>
      <c r="G29" s="372"/>
      <c r="H29" s="369" t="s">
        <v>258</v>
      </c>
      <c r="I29" s="369"/>
      <c r="K29" s="1"/>
      <c r="L29" s="1"/>
      <c r="M29" s="1"/>
      <c r="N29" s="45"/>
      <c r="O29" s="45"/>
      <c r="P29" s="1"/>
      <c r="Q29" s="1"/>
      <c r="R29" s="1"/>
      <c r="S29" s="1"/>
      <c r="T29" s="1"/>
      <c r="U29" s="1"/>
      <c r="V29" s="1"/>
    </row>
    <row r="30" spans="1:22" ht="14.25" customHeight="1">
      <c r="A30" s="30"/>
      <c r="B30" s="30"/>
      <c r="C30" s="49" t="s">
        <v>182</v>
      </c>
      <c r="D30" s="370">
        <v>12000</v>
      </c>
      <c r="E30" s="371"/>
      <c r="F30" s="372" t="s">
        <v>178</v>
      </c>
      <c r="G30" s="372"/>
      <c r="H30" s="369" t="s">
        <v>258</v>
      </c>
      <c r="I30" s="369"/>
      <c r="K30" s="1"/>
      <c r="L30" s="1"/>
      <c r="M30" s="1"/>
      <c r="N30" s="45"/>
      <c r="O30" s="45"/>
      <c r="P30" s="1"/>
      <c r="Q30" s="1"/>
      <c r="R30" s="1"/>
      <c r="S30" s="1"/>
      <c r="T30" s="1"/>
      <c r="U30" s="1"/>
      <c r="V30" s="1"/>
    </row>
    <row r="31" spans="1:22" ht="14.25" customHeight="1">
      <c r="A31" s="15"/>
      <c r="B31" s="15"/>
      <c r="C31" s="49" t="s">
        <v>183</v>
      </c>
      <c r="D31" s="370">
        <v>13000</v>
      </c>
      <c r="E31" s="371"/>
      <c r="F31" s="372" t="s">
        <v>178</v>
      </c>
      <c r="G31" s="372"/>
      <c r="H31" s="369" t="s">
        <v>258</v>
      </c>
      <c r="I31" s="369"/>
      <c r="K31" s="1"/>
      <c r="L31" s="1"/>
      <c r="M31" s="1"/>
      <c r="N31" s="45"/>
      <c r="O31" s="45"/>
      <c r="P31" s="1"/>
      <c r="Q31" s="1"/>
      <c r="R31" s="1"/>
      <c r="S31" s="1"/>
      <c r="T31" s="1"/>
      <c r="U31" s="1"/>
      <c r="V31" s="1"/>
    </row>
    <row r="32" spans="1:22" ht="14.25" customHeight="1">
      <c r="A32" s="15"/>
      <c r="B32" s="15"/>
      <c r="C32" s="49" t="s">
        <v>184</v>
      </c>
      <c r="D32" s="370">
        <v>14000</v>
      </c>
      <c r="E32" s="371"/>
      <c r="F32" s="372" t="s">
        <v>178</v>
      </c>
      <c r="G32" s="372"/>
      <c r="H32" s="369" t="s">
        <v>258</v>
      </c>
      <c r="I32" s="369"/>
      <c r="K32" s="1"/>
      <c r="L32" s="1"/>
      <c r="M32" s="1"/>
      <c r="N32" s="45"/>
      <c r="O32" s="45"/>
      <c r="P32" s="1"/>
      <c r="Q32" s="1"/>
      <c r="R32" s="1"/>
      <c r="S32" s="1"/>
      <c r="T32" s="1"/>
      <c r="U32" s="1"/>
      <c r="V32" s="1"/>
    </row>
    <row r="33" spans="1:22" ht="14.25" customHeight="1">
      <c r="A33" s="30"/>
      <c r="B33" s="30"/>
      <c r="C33" s="49" t="s">
        <v>185</v>
      </c>
      <c r="D33" s="370">
        <v>15000</v>
      </c>
      <c r="E33" s="371"/>
      <c r="F33" s="372" t="s">
        <v>178</v>
      </c>
      <c r="G33" s="372"/>
      <c r="H33" s="369" t="s">
        <v>258</v>
      </c>
      <c r="I33" s="369"/>
      <c r="K33" s="1"/>
      <c r="L33" s="1"/>
      <c r="M33" s="1"/>
      <c r="N33" s="45"/>
      <c r="O33" s="45"/>
      <c r="P33" s="1"/>
      <c r="Q33" s="1"/>
      <c r="R33" s="1"/>
      <c r="S33" s="1"/>
      <c r="T33" s="1"/>
      <c r="U33" s="1"/>
      <c r="V33" s="1"/>
    </row>
    <row r="34" spans="1:22" ht="14.25" customHeight="1">
      <c r="A34" s="38"/>
      <c r="B34" s="1"/>
      <c r="C34" s="49" t="s">
        <v>186</v>
      </c>
      <c r="D34" s="370">
        <v>16000</v>
      </c>
      <c r="E34" s="371"/>
      <c r="F34" s="372" t="s">
        <v>178</v>
      </c>
      <c r="G34" s="372"/>
      <c r="H34" s="369" t="s">
        <v>258</v>
      </c>
      <c r="I34" s="369"/>
      <c r="K34" s="46"/>
      <c r="L34" s="1"/>
      <c r="M34" s="1"/>
      <c r="N34" s="1"/>
      <c r="O34" s="1"/>
      <c r="P34" s="1"/>
      <c r="Q34" s="1"/>
      <c r="R34" s="1"/>
      <c r="S34" s="1"/>
      <c r="T34" s="1"/>
      <c r="U34" s="1"/>
      <c r="V34" s="1"/>
    </row>
    <row r="35" spans="1:22" ht="14.25" customHeight="1">
      <c r="A35" s="38"/>
      <c r="B35" s="1"/>
      <c r="C35" s="50" t="s">
        <v>187</v>
      </c>
      <c r="D35" s="368">
        <v>17000</v>
      </c>
      <c r="E35" s="368"/>
      <c r="F35" s="368" t="s">
        <v>178</v>
      </c>
      <c r="G35" s="368"/>
      <c r="H35" s="369" t="s">
        <v>258</v>
      </c>
      <c r="I35" s="369"/>
      <c r="K35" s="46"/>
      <c r="L35" s="1"/>
      <c r="M35" s="1"/>
      <c r="N35" s="1"/>
      <c r="O35" s="1"/>
      <c r="P35" s="1"/>
      <c r="Q35" s="1"/>
      <c r="R35" s="1"/>
      <c r="S35" s="1"/>
      <c r="T35" s="1"/>
      <c r="U35" s="1"/>
      <c r="V35" s="1"/>
    </row>
    <row r="36" spans="1:22" ht="14.25" customHeight="1">
      <c r="A36" s="1"/>
      <c r="B36" s="1"/>
      <c r="C36" s="1"/>
      <c r="D36" s="1"/>
      <c r="E36" s="46"/>
      <c r="F36" s="46"/>
      <c r="G36" s="46"/>
      <c r="H36" s="46"/>
      <c r="I36" s="1"/>
      <c r="J36" s="1"/>
      <c r="K36" s="1"/>
      <c r="L36" s="1"/>
      <c r="M36" s="1"/>
      <c r="N36" s="1"/>
      <c r="O36" s="1"/>
      <c r="P36" s="1"/>
      <c r="Q36" s="1"/>
      <c r="R36" s="1"/>
      <c r="S36" s="1"/>
      <c r="T36" s="1"/>
      <c r="U36" s="1"/>
      <c r="V36" s="1"/>
    </row>
    <row r="37" spans="1:22" ht="14.25" customHeight="1">
      <c r="A37" s="1"/>
      <c r="B37" s="1"/>
      <c r="C37" s="1"/>
      <c r="D37" s="1"/>
      <c r="E37" s="15"/>
      <c r="F37" s="15"/>
      <c r="G37" s="15"/>
      <c r="H37" s="15"/>
      <c r="I37" s="1"/>
      <c r="J37" s="1"/>
      <c r="K37" s="1"/>
      <c r="L37" s="1"/>
      <c r="M37" s="1"/>
      <c r="N37" s="1"/>
      <c r="O37" s="1"/>
      <c r="P37" s="1"/>
      <c r="Q37" s="1"/>
      <c r="R37" s="1"/>
      <c r="S37" s="1"/>
      <c r="T37" s="1"/>
      <c r="U37" s="1"/>
      <c r="V37" s="1"/>
    </row>
    <row r="38" spans="1:22" ht="14.25" customHeight="1">
      <c r="A38" s="1"/>
      <c r="B38" s="1"/>
      <c r="C38" s="1"/>
      <c r="D38" s="1"/>
      <c r="E38" s="46"/>
      <c r="F38" s="46"/>
      <c r="G38" s="46"/>
      <c r="H38" s="46"/>
      <c r="I38" s="1"/>
      <c r="J38" s="1"/>
      <c r="K38" s="1"/>
      <c r="L38" s="1"/>
      <c r="M38" s="1"/>
      <c r="N38" s="1"/>
      <c r="O38" s="1"/>
      <c r="P38" s="1"/>
      <c r="Q38" s="1"/>
      <c r="R38" s="1"/>
      <c r="S38" s="1"/>
      <c r="T38" s="1"/>
      <c r="U38" s="1"/>
      <c r="V38" s="1"/>
    </row>
    <row r="39" spans="1:22" ht="14.25" customHeight="1">
      <c r="A39" s="1"/>
      <c r="B39" s="1"/>
      <c r="C39" s="1"/>
      <c r="D39" s="1"/>
      <c r="E39" s="15"/>
      <c r="F39" s="15"/>
      <c r="G39" s="15"/>
      <c r="H39" s="15"/>
      <c r="I39" s="1"/>
      <c r="J39" s="1"/>
      <c r="K39" s="1"/>
      <c r="L39" s="1"/>
      <c r="M39" s="1"/>
      <c r="N39" s="1"/>
      <c r="O39" s="1"/>
      <c r="P39" s="1"/>
      <c r="Q39" s="1"/>
      <c r="R39" s="1"/>
      <c r="S39" s="1"/>
      <c r="T39" s="1"/>
      <c r="U39" s="1"/>
      <c r="V39" s="1"/>
    </row>
    <row r="40" spans="1:22" ht="14.25" customHeight="1">
      <c r="A40" s="1"/>
      <c r="B40" s="1"/>
      <c r="C40" s="1"/>
      <c r="D40" s="1"/>
      <c r="E40" s="46"/>
      <c r="F40" s="46"/>
      <c r="G40" s="46"/>
      <c r="H40" s="46"/>
      <c r="I40" s="1"/>
      <c r="J40" s="1"/>
      <c r="K40" s="1"/>
      <c r="L40" s="1"/>
      <c r="M40" s="1"/>
      <c r="N40" s="1"/>
      <c r="O40" s="1"/>
      <c r="P40" s="1"/>
      <c r="Q40" s="1"/>
      <c r="R40" s="1"/>
      <c r="S40" s="1"/>
      <c r="T40" s="1"/>
      <c r="U40" s="1"/>
      <c r="V40" s="1"/>
    </row>
    <row r="41" spans="1:22" ht="14.25" customHeight="1">
      <c r="A41" s="1"/>
      <c r="B41" s="1"/>
      <c r="C41" s="1"/>
      <c r="D41" s="1"/>
      <c r="E41" s="15"/>
      <c r="F41" s="15"/>
      <c r="G41" s="15"/>
      <c r="H41" s="15"/>
      <c r="I41" s="1"/>
      <c r="J41" s="1"/>
      <c r="K41" s="1"/>
      <c r="L41" s="1"/>
      <c r="M41" s="1"/>
      <c r="N41" s="1"/>
      <c r="O41" s="1"/>
      <c r="P41" s="1"/>
      <c r="Q41" s="1"/>
      <c r="R41" s="1"/>
      <c r="S41" s="1"/>
      <c r="T41" s="1"/>
      <c r="U41" s="1"/>
      <c r="V41" s="1"/>
    </row>
    <row r="42" spans="1:22" ht="14.25" customHeight="1">
      <c r="A42" s="1"/>
      <c r="B42" s="1"/>
      <c r="C42" s="1"/>
      <c r="D42" s="1"/>
      <c r="E42" s="1"/>
      <c r="F42" s="1"/>
      <c r="G42" s="1"/>
      <c r="H42" s="1"/>
      <c r="I42" s="1"/>
      <c r="J42" s="1"/>
      <c r="K42" s="1"/>
      <c r="L42" s="1"/>
      <c r="M42" s="1"/>
      <c r="N42" s="1"/>
      <c r="O42" s="1"/>
      <c r="P42" s="1"/>
      <c r="Q42" s="1"/>
      <c r="R42" s="1"/>
      <c r="S42" s="1"/>
      <c r="T42" s="1"/>
      <c r="U42" s="1"/>
      <c r="V42" s="1"/>
    </row>
    <row r="43" spans="1:22" ht="14.25" customHeight="1">
      <c r="A43" s="1"/>
      <c r="B43" s="1"/>
      <c r="C43" s="1"/>
      <c r="D43" s="1"/>
      <c r="E43" s="1"/>
      <c r="F43" s="1"/>
      <c r="G43" s="1"/>
      <c r="H43" s="1"/>
      <c r="I43" s="1"/>
      <c r="J43" s="1"/>
      <c r="K43" s="1"/>
      <c r="L43" s="1"/>
      <c r="M43" s="1"/>
      <c r="N43" s="1"/>
      <c r="O43" s="1"/>
      <c r="P43" s="1"/>
      <c r="Q43" s="1"/>
      <c r="R43" s="1"/>
      <c r="S43" s="1"/>
      <c r="T43" s="1"/>
      <c r="U43" s="1"/>
      <c r="V43" s="1"/>
    </row>
    <row r="44" spans="1:22" ht="14.25" customHeight="1">
      <c r="A44" s="1"/>
      <c r="B44" s="1"/>
      <c r="C44" s="1"/>
      <c r="D44" s="1"/>
      <c r="E44" s="1"/>
      <c r="F44" s="1"/>
      <c r="G44" s="1"/>
      <c r="H44" s="1"/>
      <c r="I44" s="1"/>
      <c r="J44" s="1"/>
      <c r="K44" s="1"/>
      <c r="L44" s="1"/>
      <c r="M44" s="1"/>
      <c r="N44" s="1"/>
      <c r="O44" s="1"/>
      <c r="P44" s="1"/>
      <c r="Q44" s="1"/>
      <c r="R44" s="1"/>
      <c r="S44" s="1"/>
      <c r="T44" s="1"/>
      <c r="U44" s="1"/>
      <c r="V44" s="1"/>
    </row>
    <row r="45" spans="1:22" ht="14.25" customHeight="1">
      <c r="A45" s="1"/>
      <c r="B45" s="1"/>
      <c r="C45" s="1"/>
      <c r="D45" s="1"/>
      <c r="E45" s="1"/>
      <c r="F45" s="1"/>
      <c r="G45" s="1"/>
      <c r="H45" s="1"/>
      <c r="I45" s="1"/>
      <c r="J45" s="1"/>
      <c r="K45" s="1"/>
      <c r="L45" s="1"/>
      <c r="M45" s="1"/>
      <c r="N45" s="1"/>
      <c r="O45" s="1"/>
      <c r="P45" s="1"/>
      <c r="Q45" s="1"/>
      <c r="R45" s="1"/>
      <c r="S45" s="1"/>
      <c r="T45" s="1"/>
      <c r="U45" s="1"/>
      <c r="V45" s="1"/>
    </row>
    <row r="46" spans="1:22" ht="14.25" customHeight="1">
      <c r="A46" s="1"/>
      <c r="B46" s="1"/>
      <c r="C46" s="1"/>
      <c r="D46" s="1"/>
      <c r="E46" s="1"/>
      <c r="F46" s="1"/>
      <c r="G46" s="1"/>
      <c r="H46" s="1"/>
      <c r="I46" s="1"/>
      <c r="J46" s="1"/>
      <c r="K46" s="1"/>
      <c r="L46" s="1"/>
      <c r="M46" s="1"/>
      <c r="N46" s="1"/>
      <c r="O46" s="1"/>
      <c r="P46" s="1"/>
      <c r="Q46" s="1"/>
      <c r="R46" s="1"/>
      <c r="S46" s="1"/>
      <c r="T46" s="1"/>
      <c r="U46" s="1"/>
      <c r="V46" s="1"/>
    </row>
    <row r="47" spans="1:22" ht="14.25" customHeight="1">
      <c r="A47" s="1"/>
      <c r="B47" s="1"/>
      <c r="C47" s="1"/>
      <c r="D47" s="1"/>
      <c r="E47" s="1"/>
      <c r="F47" s="1"/>
      <c r="G47" s="1"/>
      <c r="H47" s="1"/>
      <c r="I47" s="1"/>
      <c r="J47" s="1"/>
      <c r="K47" s="1"/>
      <c r="L47" s="1"/>
      <c r="M47" s="1"/>
      <c r="N47" s="1"/>
      <c r="O47" s="1"/>
      <c r="P47" s="1"/>
      <c r="Q47" s="1"/>
      <c r="R47" s="1"/>
      <c r="S47" s="1"/>
      <c r="T47" s="1"/>
      <c r="U47" s="1"/>
      <c r="V47" s="1"/>
    </row>
    <row r="48" spans="1:22" ht="14.25" customHeight="1">
      <c r="A48" s="1"/>
      <c r="B48" s="1"/>
      <c r="C48" s="1"/>
      <c r="D48" s="1"/>
      <c r="E48" s="1"/>
      <c r="F48" s="1"/>
      <c r="G48" s="1"/>
      <c r="H48" s="1"/>
      <c r="I48" s="1"/>
      <c r="J48" s="1"/>
      <c r="K48" s="1"/>
      <c r="L48" s="1"/>
      <c r="M48" s="1"/>
      <c r="N48" s="1"/>
      <c r="O48" s="1"/>
      <c r="P48" s="1"/>
      <c r="Q48" s="1"/>
      <c r="R48" s="1"/>
      <c r="S48" s="1"/>
      <c r="T48" s="1"/>
      <c r="U48" s="1"/>
      <c r="V48" s="1"/>
    </row>
    <row r="49" spans="1:22" ht="14.25" customHeight="1">
      <c r="A49" s="1"/>
      <c r="B49" s="1"/>
      <c r="C49" s="1"/>
      <c r="D49" s="1"/>
      <c r="E49" s="1"/>
      <c r="F49" s="1"/>
      <c r="G49" s="1"/>
      <c r="H49" s="1"/>
      <c r="I49" s="1"/>
      <c r="J49" s="1"/>
      <c r="K49" s="1"/>
      <c r="L49" s="1"/>
      <c r="M49" s="1"/>
      <c r="N49" s="1"/>
      <c r="O49" s="1"/>
      <c r="P49" s="1"/>
      <c r="Q49" s="1"/>
      <c r="R49" s="1"/>
      <c r="S49" s="1"/>
      <c r="T49" s="1"/>
      <c r="U49" s="1"/>
      <c r="V49" s="1"/>
    </row>
    <row r="50" spans="1:22" ht="14.25" customHeight="1">
      <c r="A50" s="1"/>
      <c r="B50" s="1"/>
      <c r="C50" s="1"/>
      <c r="D50" s="1"/>
      <c r="E50" s="1"/>
      <c r="F50" s="1"/>
      <c r="G50" s="1"/>
      <c r="H50" s="1"/>
      <c r="I50" s="1"/>
      <c r="J50" s="1"/>
      <c r="K50" s="1"/>
      <c r="L50" s="1"/>
      <c r="M50" s="1"/>
      <c r="N50" s="1"/>
      <c r="O50" s="1"/>
      <c r="P50" s="1"/>
      <c r="Q50" s="1"/>
      <c r="R50" s="1"/>
      <c r="S50" s="1"/>
      <c r="T50" s="1"/>
      <c r="U50" s="1"/>
      <c r="V50" s="1"/>
    </row>
    <row r="51" spans="1:22" ht="14.25" customHeight="1">
      <c r="A51" s="1"/>
      <c r="B51" s="1"/>
      <c r="C51" s="1"/>
      <c r="D51" s="1"/>
      <c r="E51" s="1"/>
      <c r="F51" s="1"/>
      <c r="G51" s="1"/>
      <c r="H51" s="1"/>
      <c r="I51" s="1"/>
      <c r="J51" s="1"/>
      <c r="K51" s="1"/>
      <c r="L51" s="1"/>
      <c r="M51" s="1"/>
      <c r="N51" s="1"/>
      <c r="O51" s="1"/>
      <c r="P51" s="1"/>
      <c r="Q51" s="1"/>
      <c r="R51" s="1"/>
      <c r="S51" s="1"/>
      <c r="T51" s="1"/>
      <c r="U51" s="1"/>
      <c r="V51" s="1"/>
    </row>
    <row r="52" spans="1:22" ht="14.25" customHeight="1">
      <c r="A52" s="1"/>
      <c r="B52" s="1"/>
      <c r="C52" s="1"/>
      <c r="D52" s="1"/>
      <c r="E52" s="1"/>
      <c r="F52" s="1"/>
      <c r="G52" s="1"/>
      <c r="H52" s="1"/>
      <c r="I52" s="1"/>
      <c r="J52" s="1"/>
      <c r="K52" s="1"/>
      <c r="L52" s="1"/>
      <c r="M52" s="1"/>
      <c r="N52" s="1"/>
      <c r="O52" s="1"/>
      <c r="P52" s="1"/>
      <c r="Q52" s="1"/>
      <c r="R52" s="1"/>
      <c r="S52" s="1"/>
      <c r="T52" s="1"/>
      <c r="U52" s="1"/>
      <c r="V52" s="1"/>
    </row>
    <row r="53" spans="1:22" ht="14.25" customHeight="1">
      <c r="A53" s="1"/>
      <c r="B53" s="1"/>
      <c r="C53" s="1"/>
      <c r="D53" s="1"/>
      <c r="E53" s="1"/>
      <c r="F53" s="1"/>
      <c r="G53" s="1"/>
      <c r="H53" s="1"/>
      <c r="I53" s="1"/>
      <c r="J53" s="1"/>
      <c r="K53" s="1"/>
      <c r="L53" s="1"/>
      <c r="M53" s="1"/>
      <c r="N53" s="1"/>
      <c r="O53" s="1"/>
      <c r="P53" s="1"/>
      <c r="Q53" s="1"/>
      <c r="R53" s="1"/>
      <c r="S53" s="1"/>
      <c r="T53" s="1"/>
      <c r="U53" s="1"/>
      <c r="V53" s="1"/>
    </row>
    <row r="54" spans="1:22" ht="14.25" customHeight="1">
      <c r="A54" s="1"/>
      <c r="B54" s="1"/>
      <c r="C54" s="1"/>
      <c r="D54" s="1"/>
      <c r="E54" s="1"/>
      <c r="F54" s="1"/>
      <c r="G54" s="1"/>
      <c r="H54" s="1"/>
      <c r="I54" s="1"/>
      <c r="J54" s="1"/>
      <c r="K54" s="1"/>
      <c r="L54" s="1"/>
      <c r="M54" s="1"/>
      <c r="N54" s="1"/>
      <c r="O54" s="1"/>
      <c r="P54" s="1"/>
      <c r="Q54" s="1"/>
      <c r="R54" s="1"/>
      <c r="S54" s="1"/>
      <c r="T54" s="1"/>
      <c r="U54" s="1"/>
      <c r="V54" s="1"/>
    </row>
    <row r="55" spans="1:22" ht="14.25" customHeight="1">
      <c r="A55" s="1"/>
      <c r="B55" s="1"/>
      <c r="C55" s="1"/>
      <c r="D55" s="1"/>
      <c r="E55" s="1"/>
      <c r="F55" s="1"/>
      <c r="G55" s="1"/>
      <c r="H55" s="1"/>
      <c r="I55" s="1"/>
      <c r="J55" s="1"/>
      <c r="K55" s="1"/>
      <c r="L55" s="1"/>
      <c r="M55" s="1"/>
      <c r="N55" s="1"/>
      <c r="O55" s="1"/>
      <c r="P55" s="1"/>
      <c r="Q55" s="1"/>
      <c r="R55" s="1"/>
      <c r="S55" s="1"/>
      <c r="T55" s="1"/>
      <c r="U55" s="1"/>
      <c r="V55" s="1"/>
    </row>
    <row r="56" spans="1:22" ht="14.25" customHeight="1">
      <c r="A56" s="1"/>
      <c r="B56" s="1"/>
      <c r="C56" s="1"/>
      <c r="D56" s="1"/>
      <c r="E56" s="1"/>
      <c r="F56" s="1"/>
      <c r="G56" s="1"/>
      <c r="H56" s="1"/>
      <c r="I56" s="1"/>
      <c r="J56" s="1"/>
      <c r="K56" s="1"/>
      <c r="L56" s="1"/>
      <c r="M56" s="1"/>
      <c r="N56" s="1"/>
      <c r="O56" s="1"/>
      <c r="P56" s="1"/>
      <c r="Q56" s="1"/>
      <c r="R56" s="1"/>
      <c r="S56" s="1"/>
      <c r="T56" s="1"/>
      <c r="U56" s="1"/>
      <c r="V56" s="1"/>
    </row>
    <row r="57" spans="1:22" ht="14.25" customHeight="1">
      <c r="A57" s="1"/>
      <c r="B57" s="1"/>
      <c r="C57" s="1"/>
      <c r="D57" s="1"/>
      <c r="E57" s="1"/>
      <c r="F57" s="1"/>
      <c r="G57" s="1"/>
      <c r="H57" s="1"/>
      <c r="I57" s="1"/>
      <c r="J57" s="1"/>
      <c r="K57" s="1"/>
      <c r="L57" s="1"/>
      <c r="M57" s="1"/>
      <c r="N57" s="1"/>
      <c r="O57" s="1"/>
      <c r="P57" s="1"/>
      <c r="Q57" s="1"/>
      <c r="R57" s="1"/>
      <c r="S57" s="1"/>
      <c r="T57" s="1"/>
      <c r="U57" s="1"/>
      <c r="V57" s="1"/>
    </row>
    <row r="58" spans="1:22" ht="14.25" customHeight="1">
      <c r="A58" s="1"/>
      <c r="B58" s="1"/>
      <c r="C58" s="1"/>
      <c r="D58" s="1"/>
      <c r="E58" s="1"/>
      <c r="F58" s="1"/>
      <c r="G58" s="1"/>
      <c r="H58" s="1"/>
      <c r="I58" s="1"/>
      <c r="J58" s="1"/>
      <c r="K58" s="1"/>
      <c r="L58" s="1"/>
      <c r="M58" s="1"/>
      <c r="N58" s="1"/>
      <c r="O58" s="1"/>
      <c r="P58" s="1"/>
      <c r="Q58" s="1"/>
      <c r="R58" s="1"/>
      <c r="S58" s="1"/>
      <c r="T58" s="1"/>
      <c r="U58" s="1"/>
      <c r="V58" s="1"/>
    </row>
    <row r="59" spans="1:22" ht="14.25" customHeight="1">
      <c r="A59" s="1"/>
      <c r="B59" s="1"/>
      <c r="C59" s="1"/>
      <c r="D59" s="1"/>
      <c r="E59" s="1"/>
      <c r="F59" s="1"/>
      <c r="G59" s="1"/>
      <c r="H59" s="1"/>
      <c r="I59" s="1"/>
      <c r="J59" s="1"/>
      <c r="K59" s="1"/>
      <c r="L59" s="1"/>
      <c r="M59" s="1"/>
      <c r="N59" s="1"/>
      <c r="O59" s="1"/>
      <c r="P59" s="1"/>
      <c r="Q59" s="1"/>
      <c r="R59" s="1"/>
      <c r="S59" s="1"/>
      <c r="T59" s="1"/>
      <c r="U59" s="1"/>
      <c r="V59" s="1"/>
    </row>
    <row r="60" spans="1:22" ht="14.25" customHeight="1">
      <c r="A60" s="1"/>
      <c r="B60" s="1"/>
      <c r="C60" s="1"/>
      <c r="D60" s="1"/>
      <c r="E60" s="1"/>
      <c r="F60" s="1"/>
      <c r="G60" s="1"/>
      <c r="H60" s="1"/>
      <c r="I60" s="1"/>
      <c r="J60" s="1"/>
      <c r="K60" s="1"/>
      <c r="L60" s="1"/>
      <c r="M60" s="1"/>
      <c r="N60" s="1"/>
      <c r="O60" s="1"/>
      <c r="P60" s="1"/>
      <c r="Q60" s="1"/>
      <c r="R60" s="1"/>
      <c r="S60" s="1"/>
      <c r="T60" s="1"/>
      <c r="U60" s="1"/>
      <c r="V60" s="1"/>
    </row>
    <row r="61" spans="1:22" ht="14.25" customHeight="1">
      <c r="A61" s="1"/>
      <c r="B61" s="1"/>
      <c r="C61" s="1"/>
      <c r="D61" s="1"/>
      <c r="E61" s="1"/>
      <c r="F61" s="1"/>
      <c r="G61" s="1"/>
      <c r="H61" s="1"/>
      <c r="I61" s="1"/>
      <c r="J61" s="1"/>
      <c r="K61" s="1"/>
      <c r="L61" s="1"/>
      <c r="M61" s="1"/>
      <c r="N61" s="1"/>
      <c r="O61" s="1"/>
      <c r="P61" s="1"/>
      <c r="Q61" s="1"/>
      <c r="R61" s="1"/>
      <c r="S61" s="1"/>
      <c r="T61" s="1"/>
      <c r="U61" s="1"/>
      <c r="V61" s="1"/>
    </row>
    <row r="62" spans="1:22" ht="14.25" customHeight="1">
      <c r="A62" s="1"/>
      <c r="B62" s="1"/>
      <c r="C62" s="1"/>
      <c r="D62" s="1"/>
      <c r="E62" s="1"/>
      <c r="F62" s="1"/>
      <c r="G62" s="1"/>
      <c r="H62" s="1"/>
      <c r="I62" s="1"/>
      <c r="J62" s="1"/>
      <c r="K62" s="1"/>
      <c r="L62" s="1"/>
      <c r="M62" s="1"/>
      <c r="N62" s="1"/>
      <c r="O62" s="1"/>
      <c r="P62" s="1"/>
      <c r="Q62" s="1"/>
      <c r="R62" s="1"/>
      <c r="S62" s="1"/>
      <c r="T62" s="1"/>
      <c r="U62" s="1"/>
      <c r="V62" s="1"/>
    </row>
    <row r="63" spans="1:22" ht="14.25" customHeight="1">
      <c r="A63" s="1"/>
      <c r="B63" s="1"/>
      <c r="C63" s="1"/>
      <c r="D63" s="1"/>
      <c r="E63" s="1"/>
      <c r="F63" s="1"/>
      <c r="G63" s="1"/>
      <c r="H63" s="1"/>
      <c r="I63" s="1"/>
      <c r="J63" s="1"/>
      <c r="K63" s="1"/>
      <c r="L63" s="1"/>
      <c r="M63" s="1"/>
      <c r="N63" s="1"/>
      <c r="O63" s="1"/>
      <c r="P63" s="1"/>
      <c r="Q63" s="1"/>
      <c r="R63" s="1"/>
      <c r="S63" s="1"/>
      <c r="T63" s="1"/>
      <c r="U63" s="1"/>
      <c r="V63" s="1"/>
    </row>
    <row r="64" spans="1:22" ht="14.25" customHeight="1">
      <c r="A64" s="1"/>
      <c r="B64" s="1"/>
      <c r="C64" s="1"/>
      <c r="D64" s="1"/>
      <c r="E64" s="1"/>
      <c r="F64" s="1"/>
      <c r="G64" s="1"/>
      <c r="H64" s="1"/>
      <c r="I64" s="1"/>
      <c r="J64" s="1"/>
      <c r="K64" s="1"/>
      <c r="L64" s="1"/>
      <c r="M64" s="1"/>
      <c r="N64" s="1"/>
      <c r="O64" s="1"/>
      <c r="P64" s="1"/>
      <c r="Q64" s="1"/>
      <c r="R64" s="1"/>
      <c r="S64" s="1"/>
      <c r="T64" s="1"/>
      <c r="U64" s="1"/>
      <c r="V64" s="1"/>
    </row>
    <row r="65" spans="1:22" ht="14.25" customHeight="1">
      <c r="A65" s="1"/>
      <c r="B65" s="1"/>
      <c r="C65" s="1"/>
      <c r="D65" s="1"/>
      <c r="E65" s="1"/>
      <c r="F65" s="1"/>
      <c r="G65" s="1"/>
      <c r="H65" s="1"/>
      <c r="I65" s="1"/>
      <c r="J65" s="1"/>
      <c r="K65" s="1"/>
      <c r="L65" s="1"/>
      <c r="M65" s="1"/>
      <c r="N65" s="1"/>
      <c r="O65" s="1"/>
      <c r="P65" s="1"/>
      <c r="Q65" s="1"/>
      <c r="R65" s="1"/>
      <c r="S65" s="1"/>
      <c r="T65" s="1"/>
      <c r="U65" s="1"/>
      <c r="V65" s="1"/>
    </row>
    <row r="66" spans="1:22" ht="14.25" customHeight="1">
      <c r="A66" s="1"/>
      <c r="B66" s="1"/>
      <c r="C66" s="1"/>
      <c r="D66" s="1"/>
      <c r="E66" s="1"/>
      <c r="F66" s="1"/>
      <c r="G66" s="1"/>
      <c r="H66" s="1"/>
      <c r="I66" s="1"/>
      <c r="J66" s="1"/>
      <c r="K66" s="1"/>
      <c r="L66" s="1"/>
      <c r="M66" s="1"/>
      <c r="N66" s="1"/>
      <c r="O66" s="1"/>
      <c r="P66" s="1"/>
      <c r="Q66" s="1"/>
      <c r="R66" s="1"/>
      <c r="S66" s="1"/>
      <c r="T66" s="1"/>
      <c r="U66" s="1"/>
      <c r="V66" s="1"/>
    </row>
    <row r="67" spans="1:22" ht="14.25" customHeight="1">
      <c r="A67" s="1"/>
      <c r="B67" s="1"/>
      <c r="C67" s="1"/>
      <c r="D67" s="1"/>
      <c r="E67" s="1"/>
      <c r="F67" s="1"/>
      <c r="G67" s="1"/>
      <c r="H67" s="1"/>
      <c r="I67" s="1"/>
      <c r="J67" s="1"/>
      <c r="K67" s="1"/>
      <c r="L67" s="1"/>
      <c r="M67" s="1"/>
      <c r="N67" s="1"/>
      <c r="O67" s="1"/>
      <c r="P67" s="1"/>
      <c r="Q67" s="1"/>
      <c r="R67" s="1"/>
      <c r="S67" s="1"/>
      <c r="T67" s="1"/>
      <c r="U67" s="1"/>
      <c r="V67" s="1"/>
    </row>
    <row r="68" spans="1:22" ht="14.25" customHeight="1">
      <c r="A68" s="1"/>
      <c r="B68" s="1"/>
      <c r="C68" s="1"/>
      <c r="D68" s="1"/>
      <c r="E68" s="1"/>
      <c r="F68" s="1"/>
      <c r="G68" s="1"/>
      <c r="H68" s="1"/>
      <c r="I68" s="1"/>
      <c r="J68" s="1"/>
      <c r="K68" s="1"/>
      <c r="L68" s="1"/>
      <c r="M68" s="1"/>
      <c r="N68" s="1"/>
      <c r="O68" s="1"/>
      <c r="P68" s="1"/>
      <c r="Q68" s="1"/>
      <c r="R68" s="1"/>
      <c r="S68" s="1"/>
      <c r="T68" s="1"/>
      <c r="U68" s="1"/>
      <c r="V68" s="1"/>
    </row>
    <row r="69" spans="1:22" ht="14.25" customHeight="1">
      <c r="A69" s="1"/>
      <c r="B69" s="1"/>
      <c r="C69" s="1"/>
      <c r="D69" s="1"/>
      <c r="E69" s="1"/>
      <c r="F69" s="1"/>
      <c r="G69" s="1"/>
      <c r="H69" s="1"/>
      <c r="I69" s="1"/>
      <c r="J69" s="1"/>
      <c r="K69" s="1"/>
      <c r="L69" s="1"/>
      <c r="M69" s="1"/>
      <c r="N69" s="1"/>
      <c r="O69" s="1"/>
      <c r="P69" s="1"/>
      <c r="Q69" s="1"/>
      <c r="R69" s="1"/>
      <c r="S69" s="1"/>
      <c r="T69" s="1"/>
      <c r="U69" s="1"/>
      <c r="V69" s="1"/>
    </row>
    <row r="70" spans="1:22" ht="14.25" customHeight="1">
      <c r="A70" s="1"/>
      <c r="B70" s="1"/>
      <c r="C70" s="1"/>
      <c r="D70" s="1"/>
      <c r="E70" s="1"/>
      <c r="F70" s="1"/>
      <c r="G70" s="1"/>
      <c r="H70" s="1"/>
      <c r="I70" s="1"/>
      <c r="J70" s="1"/>
      <c r="K70" s="1"/>
      <c r="L70" s="1"/>
      <c r="M70" s="1"/>
      <c r="N70" s="1"/>
      <c r="O70" s="1"/>
      <c r="P70" s="1"/>
      <c r="Q70" s="1"/>
      <c r="R70" s="1"/>
      <c r="S70" s="1"/>
      <c r="T70" s="1"/>
      <c r="U70" s="1"/>
      <c r="V70" s="1"/>
    </row>
    <row r="71" spans="1:22" ht="14.25" customHeight="1">
      <c r="A71" s="1"/>
      <c r="B71" s="1"/>
      <c r="C71" s="1"/>
      <c r="D71" s="1"/>
      <c r="E71" s="1"/>
      <c r="F71" s="1"/>
      <c r="G71" s="1"/>
      <c r="H71" s="1"/>
      <c r="I71" s="1"/>
      <c r="J71" s="1"/>
      <c r="K71" s="1"/>
      <c r="L71" s="1"/>
      <c r="M71" s="1"/>
      <c r="N71" s="1"/>
      <c r="O71" s="1"/>
      <c r="P71" s="1"/>
      <c r="Q71" s="1"/>
      <c r="R71" s="1"/>
      <c r="S71" s="1"/>
      <c r="T71" s="1"/>
      <c r="U71" s="1"/>
      <c r="V71" s="1"/>
    </row>
    <row r="72" spans="1:22" ht="14.25" customHeight="1">
      <c r="A72" s="1"/>
      <c r="B72" s="1"/>
      <c r="C72" s="1"/>
      <c r="D72" s="1"/>
      <c r="E72" s="1"/>
      <c r="F72" s="1"/>
      <c r="G72" s="1"/>
      <c r="H72" s="1"/>
      <c r="I72" s="1"/>
      <c r="J72" s="1"/>
      <c r="K72" s="1"/>
      <c r="L72" s="1"/>
      <c r="M72" s="1"/>
      <c r="N72" s="1"/>
      <c r="O72" s="1"/>
      <c r="P72" s="1"/>
      <c r="Q72" s="1"/>
      <c r="R72" s="1"/>
      <c r="S72" s="1"/>
      <c r="T72" s="1"/>
      <c r="U72" s="1"/>
      <c r="V72" s="1"/>
    </row>
    <row r="73" spans="1:22" ht="14.25" customHeight="1">
      <c r="A73" s="1"/>
      <c r="B73" s="1"/>
      <c r="C73" s="1"/>
      <c r="D73" s="1"/>
      <c r="E73" s="1"/>
      <c r="F73" s="1"/>
      <c r="G73" s="1"/>
      <c r="H73" s="1"/>
      <c r="I73" s="1"/>
      <c r="J73" s="1"/>
      <c r="K73" s="1"/>
      <c r="L73" s="1"/>
      <c r="M73" s="1"/>
      <c r="N73" s="1"/>
      <c r="O73" s="1"/>
      <c r="P73" s="1"/>
      <c r="Q73" s="1"/>
      <c r="R73" s="1"/>
      <c r="S73" s="1"/>
      <c r="T73" s="1"/>
      <c r="U73" s="1"/>
      <c r="V73" s="1"/>
    </row>
    <row r="74" spans="1:22" ht="14.25" customHeight="1">
      <c r="A74" s="1"/>
      <c r="B74" s="1"/>
      <c r="C74" s="1"/>
      <c r="D74" s="1"/>
      <c r="E74" s="1"/>
      <c r="F74" s="1"/>
      <c r="G74" s="1"/>
      <c r="H74" s="1"/>
      <c r="I74" s="1"/>
      <c r="J74" s="1"/>
      <c r="K74" s="1"/>
      <c r="L74" s="1"/>
      <c r="M74" s="1"/>
      <c r="N74" s="1"/>
      <c r="O74" s="1"/>
      <c r="P74" s="1"/>
      <c r="Q74" s="1"/>
      <c r="R74" s="1"/>
      <c r="S74" s="1"/>
      <c r="T74" s="1"/>
      <c r="U74" s="1"/>
      <c r="V74" s="1"/>
    </row>
    <row r="75" spans="1:22" ht="14.25" customHeight="1">
      <c r="A75" s="1"/>
      <c r="B75" s="1"/>
      <c r="C75" s="1"/>
      <c r="D75" s="1"/>
      <c r="E75" s="1"/>
      <c r="F75" s="1"/>
      <c r="G75" s="1"/>
      <c r="H75" s="1"/>
      <c r="I75" s="1"/>
      <c r="J75" s="1"/>
      <c r="K75" s="1"/>
      <c r="L75" s="1"/>
      <c r="M75" s="1"/>
      <c r="N75" s="1"/>
      <c r="O75" s="1"/>
      <c r="P75" s="1"/>
      <c r="Q75" s="1"/>
      <c r="R75" s="1"/>
      <c r="S75" s="1"/>
      <c r="T75" s="1"/>
      <c r="U75" s="1"/>
      <c r="V75" s="1"/>
    </row>
    <row r="76" spans="1:22" ht="14.25" customHeight="1">
      <c r="A76" s="1"/>
      <c r="B76" s="1"/>
      <c r="C76" s="1"/>
      <c r="D76" s="1"/>
      <c r="E76" s="1"/>
      <c r="F76" s="1"/>
      <c r="G76" s="1"/>
      <c r="H76" s="1"/>
      <c r="I76" s="1"/>
      <c r="J76" s="1"/>
      <c r="K76" s="1"/>
      <c r="L76" s="1"/>
      <c r="M76" s="1"/>
      <c r="N76" s="1"/>
      <c r="O76" s="1"/>
      <c r="P76" s="1"/>
      <c r="Q76" s="1"/>
      <c r="R76" s="1"/>
      <c r="S76" s="1"/>
      <c r="T76" s="1"/>
      <c r="U76" s="1"/>
      <c r="V76" s="1"/>
    </row>
    <row r="77" spans="1:22" ht="14.25" customHeight="1">
      <c r="A77" s="1"/>
      <c r="B77" s="1"/>
      <c r="C77" s="1"/>
      <c r="D77" s="1"/>
      <c r="E77" s="1"/>
      <c r="F77" s="1"/>
      <c r="G77" s="1"/>
      <c r="H77" s="1"/>
      <c r="I77" s="1"/>
      <c r="J77" s="1"/>
      <c r="K77" s="1"/>
      <c r="L77" s="1"/>
      <c r="M77" s="1"/>
      <c r="N77" s="1"/>
      <c r="O77" s="1"/>
      <c r="P77" s="1"/>
      <c r="Q77" s="1"/>
      <c r="R77" s="1"/>
      <c r="S77" s="1"/>
      <c r="T77" s="1"/>
      <c r="U77" s="1"/>
      <c r="V77" s="1"/>
    </row>
    <row r="78" spans="1:22" ht="14.25" customHeight="1">
      <c r="A78" s="1"/>
      <c r="B78" s="1"/>
      <c r="C78" s="1"/>
      <c r="D78" s="1"/>
      <c r="E78" s="1"/>
      <c r="F78" s="1"/>
      <c r="G78" s="1"/>
      <c r="H78" s="1"/>
      <c r="I78" s="1"/>
      <c r="J78" s="1"/>
      <c r="K78" s="1"/>
      <c r="L78" s="1"/>
      <c r="M78" s="1"/>
      <c r="N78" s="1"/>
      <c r="O78" s="1"/>
      <c r="P78" s="1"/>
      <c r="Q78" s="1"/>
      <c r="R78" s="1"/>
      <c r="S78" s="1"/>
      <c r="T78" s="1"/>
      <c r="U78" s="1"/>
      <c r="V78" s="1"/>
    </row>
    <row r="79" spans="1:22" ht="14.25" customHeight="1">
      <c r="A79" s="1"/>
      <c r="B79" s="1"/>
      <c r="C79" s="1"/>
      <c r="D79" s="1"/>
      <c r="E79" s="1"/>
      <c r="F79" s="1"/>
      <c r="G79" s="1"/>
      <c r="H79" s="1"/>
      <c r="I79" s="1"/>
      <c r="J79" s="1"/>
      <c r="K79" s="1"/>
      <c r="L79" s="1"/>
      <c r="M79" s="1"/>
      <c r="N79" s="1"/>
      <c r="O79" s="1"/>
      <c r="P79" s="1"/>
      <c r="Q79" s="1"/>
      <c r="R79" s="1"/>
      <c r="S79" s="1"/>
      <c r="T79" s="1"/>
      <c r="U79" s="1"/>
      <c r="V79" s="1"/>
    </row>
    <row r="80" spans="1:22" ht="14.25" customHeight="1">
      <c r="A80" s="1"/>
      <c r="B80" s="1"/>
      <c r="C80" s="1"/>
      <c r="D80" s="1"/>
      <c r="E80" s="1"/>
      <c r="F80" s="1"/>
      <c r="G80" s="1"/>
      <c r="H80" s="1"/>
      <c r="I80" s="1"/>
      <c r="J80" s="1"/>
      <c r="K80" s="1"/>
      <c r="L80" s="1"/>
      <c r="M80" s="1"/>
      <c r="N80" s="1"/>
      <c r="O80" s="1"/>
      <c r="P80" s="1"/>
      <c r="Q80" s="1"/>
      <c r="R80" s="1"/>
      <c r="S80" s="1"/>
      <c r="T80" s="1"/>
      <c r="U80" s="1"/>
      <c r="V80" s="1"/>
    </row>
    <row r="81" spans="1:22" ht="14.25" customHeight="1">
      <c r="A81" s="1"/>
      <c r="B81" s="1"/>
      <c r="C81" s="1"/>
      <c r="D81" s="1"/>
      <c r="E81" s="1"/>
      <c r="F81" s="1"/>
      <c r="G81" s="1"/>
      <c r="H81" s="1"/>
      <c r="I81" s="1"/>
      <c r="J81" s="1"/>
      <c r="K81" s="1"/>
      <c r="L81" s="1"/>
      <c r="M81" s="1"/>
      <c r="N81" s="1"/>
      <c r="O81" s="1"/>
      <c r="P81" s="1"/>
      <c r="Q81" s="1"/>
      <c r="R81" s="1"/>
      <c r="S81" s="1"/>
      <c r="T81" s="1"/>
      <c r="U81" s="1"/>
      <c r="V81" s="1"/>
    </row>
    <row r="82" spans="1:22" ht="14.25" customHeight="1">
      <c r="A82" s="1"/>
      <c r="B82" s="1"/>
      <c r="C82" s="1"/>
      <c r="D82" s="1"/>
      <c r="E82" s="1"/>
      <c r="F82" s="1"/>
      <c r="G82" s="1"/>
      <c r="H82" s="1"/>
      <c r="I82" s="1"/>
      <c r="J82" s="1"/>
      <c r="K82" s="1"/>
      <c r="L82" s="1"/>
      <c r="M82" s="1"/>
      <c r="N82" s="1"/>
      <c r="O82" s="1"/>
      <c r="P82" s="1"/>
      <c r="Q82" s="1"/>
      <c r="R82" s="1"/>
      <c r="S82" s="1"/>
      <c r="T82" s="1"/>
      <c r="U82" s="1"/>
      <c r="V82" s="1"/>
    </row>
  </sheetData>
  <mergeCells count="38">
    <mergeCell ref="H31:I31"/>
    <mergeCell ref="D32:E32"/>
    <mergeCell ref="F32:G32"/>
    <mergeCell ref="H32:I32"/>
    <mergeCell ref="D33:E33"/>
    <mergeCell ref="F33:G33"/>
    <mergeCell ref="H33:I33"/>
    <mergeCell ref="D31:E31"/>
    <mergeCell ref="F31:G31"/>
    <mergeCell ref="A16:B16"/>
    <mergeCell ref="E19:H19"/>
    <mergeCell ref="E23:H23"/>
    <mergeCell ref="E24:H24"/>
    <mergeCell ref="A27:B27"/>
    <mergeCell ref="C2:J5"/>
    <mergeCell ref="C7:J7"/>
    <mergeCell ref="F11:G11"/>
    <mergeCell ref="F12:G12"/>
    <mergeCell ref="C14:J14"/>
    <mergeCell ref="F30:G30"/>
    <mergeCell ref="D26:I26"/>
    <mergeCell ref="D27:E27"/>
    <mergeCell ref="F27:G27"/>
    <mergeCell ref="H27:I27"/>
    <mergeCell ref="H28:I28"/>
    <mergeCell ref="H29:I29"/>
    <mergeCell ref="H30:I30"/>
    <mergeCell ref="D28:E28"/>
    <mergeCell ref="D29:E29"/>
    <mergeCell ref="D30:E30"/>
    <mergeCell ref="F28:G28"/>
    <mergeCell ref="F29:G29"/>
    <mergeCell ref="D35:E35"/>
    <mergeCell ref="F35:G35"/>
    <mergeCell ref="H35:I35"/>
    <mergeCell ref="D34:E34"/>
    <mergeCell ref="F34:G34"/>
    <mergeCell ref="H34:I34"/>
  </mergeCells>
  <printOptions horizontalCentered="1"/>
  <pageMargins left="0.23622047244094491" right="0.23622047244094491" top="0.74803149606299213" bottom="0.74803149606299213" header="0.31496062992125984" footer="0.31496062992125984"/>
  <pageSetup paperSize="9" scale="6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1"/>
  <sheetViews>
    <sheetView showGridLines="0" zoomScaleNormal="100" zoomScalePageLayoutView="50" workbookViewId="0">
      <selection activeCell="B9" sqref="B9:M18"/>
    </sheetView>
  </sheetViews>
  <sheetFormatPr defaultColWidth="12.625" defaultRowHeight="15" customHeight="1"/>
  <cols>
    <col min="1" max="1" width="2" style="70" customWidth="1"/>
    <col min="2" max="3" width="11.375" style="70" customWidth="1"/>
    <col min="4" max="4" width="10.375" style="70" customWidth="1"/>
    <col min="5" max="5" width="7.125" style="70" customWidth="1"/>
    <col min="6" max="6" width="15.125" style="70" customWidth="1"/>
    <col min="7" max="7" width="9.375" style="70" customWidth="1"/>
    <col min="8" max="8" width="11.875" style="70" customWidth="1"/>
    <col min="9" max="9" width="14.5" style="70" customWidth="1"/>
    <col min="10" max="10" width="14.125" style="70" customWidth="1"/>
    <col min="11" max="11" width="19.625" style="70" customWidth="1"/>
    <col min="12" max="12" width="32" style="70" customWidth="1"/>
    <col min="13" max="13" width="23" style="70" customWidth="1"/>
    <col min="14" max="14" width="4.875" style="70" customWidth="1"/>
    <col min="15" max="16384" width="12.625" style="70"/>
  </cols>
  <sheetData>
    <row r="1" spans="1:14">
      <c r="A1" s="71"/>
      <c r="B1" s="71"/>
      <c r="C1" s="71"/>
      <c r="D1" s="71"/>
      <c r="E1" s="71"/>
      <c r="F1" s="71"/>
      <c r="G1" s="71"/>
      <c r="H1" s="71"/>
      <c r="I1" s="71"/>
      <c r="J1" s="71"/>
      <c r="K1" s="71"/>
      <c r="L1" s="71"/>
      <c r="M1" s="71"/>
      <c r="N1" s="71"/>
    </row>
    <row r="2" spans="1:14">
      <c r="A2" s="71"/>
      <c r="B2" s="71"/>
      <c r="C2" s="71"/>
      <c r="D2" s="71"/>
      <c r="E2" s="71"/>
      <c r="F2" s="71"/>
      <c r="G2" s="71"/>
      <c r="H2" s="71"/>
      <c r="I2" s="71"/>
      <c r="J2" s="71"/>
      <c r="K2" s="71"/>
      <c r="L2" s="71"/>
      <c r="M2" s="71"/>
      <c r="N2" s="71"/>
    </row>
    <row r="3" spans="1:14">
      <c r="A3" s="71"/>
      <c r="B3" s="395" t="s">
        <v>66</v>
      </c>
      <c r="C3" s="378"/>
      <c r="D3" s="378"/>
      <c r="E3" s="378"/>
      <c r="F3" s="378"/>
      <c r="G3" s="378"/>
      <c r="H3" s="378"/>
      <c r="I3" s="378"/>
      <c r="J3" s="378"/>
      <c r="K3" s="378"/>
      <c r="L3" s="378"/>
      <c r="M3" s="71"/>
      <c r="N3" s="71"/>
    </row>
    <row r="4" spans="1:14">
      <c r="A4" s="71"/>
      <c r="B4" s="379"/>
      <c r="C4" s="380"/>
      <c r="D4" s="380"/>
      <c r="E4" s="380"/>
      <c r="F4" s="380"/>
      <c r="G4" s="380"/>
      <c r="H4" s="380"/>
      <c r="I4" s="380"/>
      <c r="J4" s="380"/>
      <c r="K4" s="380"/>
      <c r="L4" s="380"/>
      <c r="M4" s="71"/>
      <c r="N4" s="71"/>
    </row>
    <row r="5" spans="1:14">
      <c r="A5" s="71"/>
      <c r="B5" s="379"/>
      <c r="C5" s="380"/>
      <c r="D5" s="380"/>
      <c r="E5" s="380"/>
      <c r="F5" s="380"/>
      <c r="G5" s="380"/>
      <c r="H5" s="380"/>
      <c r="I5" s="380"/>
      <c r="J5" s="380"/>
      <c r="K5" s="380"/>
      <c r="L5" s="380"/>
      <c r="M5" s="71"/>
      <c r="N5" s="71"/>
    </row>
    <row r="6" spans="1:14" ht="15.75" customHeight="1" thickBot="1">
      <c r="A6" s="71"/>
      <c r="B6" s="379"/>
      <c r="C6" s="380"/>
      <c r="D6" s="380"/>
      <c r="E6" s="380"/>
      <c r="F6" s="380"/>
      <c r="G6" s="380"/>
      <c r="H6" s="380"/>
      <c r="I6" s="380"/>
      <c r="J6" s="380"/>
      <c r="K6" s="380"/>
      <c r="L6" s="380"/>
      <c r="M6" s="72"/>
      <c r="N6" s="72"/>
    </row>
    <row r="7" spans="1:14" ht="38.25" customHeight="1" thickBot="1">
      <c r="A7" s="71"/>
      <c r="B7" s="73"/>
      <c r="C7" s="74"/>
      <c r="F7" s="99" t="s">
        <v>1</v>
      </c>
      <c r="G7" s="404"/>
      <c r="H7" s="405"/>
      <c r="I7" s="405"/>
      <c r="J7" s="406"/>
      <c r="K7" s="75"/>
      <c r="L7" s="74"/>
      <c r="M7" s="76"/>
      <c r="N7" s="76"/>
    </row>
    <row r="8" spans="1:14" ht="45" thickBot="1">
      <c r="A8" s="71"/>
      <c r="B8" s="77"/>
      <c r="C8" s="78"/>
      <c r="D8" s="78"/>
      <c r="E8" s="78"/>
      <c r="F8" s="100" t="s">
        <v>204</v>
      </c>
      <c r="G8" s="100"/>
      <c r="H8" s="100"/>
      <c r="I8" s="100"/>
      <c r="J8" s="100"/>
      <c r="K8" s="78"/>
      <c r="L8" s="78"/>
      <c r="M8" s="78"/>
      <c r="N8" s="79"/>
    </row>
    <row r="9" spans="1:14" ht="39" customHeight="1" thickBot="1">
      <c r="A9" s="71"/>
      <c r="B9" s="101" t="s">
        <v>29</v>
      </c>
      <c r="C9" s="101" t="s">
        <v>30</v>
      </c>
      <c r="D9" s="101" t="s">
        <v>31</v>
      </c>
      <c r="E9" s="101" t="s">
        <v>32</v>
      </c>
      <c r="F9" s="101" t="s">
        <v>33</v>
      </c>
      <c r="G9" s="102" t="s">
        <v>34</v>
      </c>
      <c r="H9" s="101" t="s">
        <v>23</v>
      </c>
      <c r="I9" s="101" t="s">
        <v>22</v>
      </c>
      <c r="J9" s="101" t="s">
        <v>35</v>
      </c>
      <c r="K9" s="101" t="s">
        <v>36</v>
      </c>
      <c r="L9" s="407" t="s">
        <v>37</v>
      </c>
      <c r="M9" s="408"/>
      <c r="N9" s="80"/>
    </row>
    <row r="10" spans="1:14">
      <c r="A10" s="71"/>
      <c r="B10" s="396" t="s">
        <v>200</v>
      </c>
      <c r="C10" s="397"/>
      <c r="D10" s="397"/>
      <c r="E10" s="397"/>
      <c r="F10" s="397"/>
      <c r="G10" s="397"/>
      <c r="H10" s="397"/>
      <c r="I10" s="397"/>
      <c r="J10" s="397"/>
      <c r="K10" s="397"/>
      <c r="L10" s="397"/>
      <c r="M10" s="398"/>
      <c r="N10" s="81"/>
    </row>
    <row r="11" spans="1:14" ht="21.75" customHeight="1" thickBot="1">
      <c r="A11" s="71"/>
      <c r="B11" s="399"/>
      <c r="C11" s="400"/>
      <c r="D11" s="400"/>
      <c r="E11" s="400"/>
      <c r="F11" s="400"/>
      <c r="G11" s="400"/>
      <c r="H11" s="400"/>
      <c r="I11" s="400"/>
      <c r="J11" s="400"/>
      <c r="K11" s="400"/>
      <c r="L11" s="400"/>
      <c r="M11" s="401"/>
      <c r="N11" s="82"/>
    </row>
    <row r="12" spans="1:14" ht="21.75" customHeight="1">
      <c r="A12" s="71"/>
      <c r="B12" s="103"/>
      <c r="C12" s="104" t="s">
        <v>201</v>
      </c>
      <c r="D12" s="105"/>
      <c r="E12" s="106"/>
      <c r="F12" s="105"/>
      <c r="G12" s="107"/>
      <c r="H12" s="105"/>
      <c r="I12" s="105"/>
      <c r="J12" s="105"/>
      <c r="K12" s="105"/>
      <c r="L12" s="402"/>
      <c r="M12" s="403"/>
      <c r="N12" s="82"/>
    </row>
    <row r="13" spans="1:14" ht="21.75" customHeight="1">
      <c r="A13" s="71"/>
      <c r="B13" s="108"/>
      <c r="C13" s="109" t="s">
        <v>202</v>
      </c>
      <c r="D13" s="110"/>
      <c r="E13" s="111"/>
      <c r="F13" s="110"/>
      <c r="G13" s="112"/>
      <c r="H13" s="110"/>
      <c r="I13" s="110"/>
      <c r="J13" s="110"/>
      <c r="K13" s="110"/>
      <c r="L13" s="391"/>
      <c r="M13" s="392"/>
      <c r="N13" s="82"/>
    </row>
    <row r="14" spans="1:14" ht="39" customHeight="1">
      <c r="A14" s="71"/>
      <c r="B14" s="108"/>
      <c r="C14" s="109" t="s">
        <v>203</v>
      </c>
      <c r="D14" s="110"/>
      <c r="E14" s="111"/>
      <c r="F14" s="110"/>
      <c r="G14" s="112"/>
      <c r="H14" s="110"/>
      <c r="I14" s="110"/>
      <c r="J14" s="110"/>
      <c r="K14" s="110"/>
      <c r="L14" s="391"/>
      <c r="M14" s="392"/>
      <c r="N14" s="82"/>
    </row>
    <row r="15" spans="1:14" ht="21.75" customHeight="1">
      <c r="A15" s="71"/>
      <c r="B15" s="108"/>
      <c r="C15" s="109" t="s">
        <v>202</v>
      </c>
      <c r="D15" s="110"/>
      <c r="E15" s="111"/>
      <c r="F15" s="110"/>
      <c r="G15" s="112"/>
      <c r="H15" s="110"/>
      <c r="I15" s="110"/>
      <c r="J15" s="110"/>
      <c r="K15" s="110"/>
      <c r="L15" s="391"/>
      <c r="M15" s="392"/>
      <c r="N15" s="83"/>
    </row>
    <row r="16" spans="1:14" ht="21.75" customHeight="1">
      <c r="A16" s="71"/>
      <c r="B16" s="108"/>
      <c r="C16" s="109" t="s">
        <v>167</v>
      </c>
      <c r="D16" s="110"/>
      <c r="E16" s="111"/>
      <c r="F16" s="110"/>
      <c r="G16" s="112"/>
      <c r="H16" s="110"/>
      <c r="I16" s="110"/>
      <c r="J16" s="110"/>
      <c r="K16" s="110"/>
      <c r="L16" s="391"/>
      <c r="M16" s="392"/>
      <c r="N16" s="82"/>
    </row>
    <row r="17" spans="1:14" ht="21.75" customHeight="1">
      <c r="A17" s="71"/>
      <c r="B17" s="108"/>
      <c r="C17" s="109" t="str">
        <f t="shared" ref="C17:C18" si="0">LEFT(TEXT(B17,"dddd"))</f>
        <v>S</v>
      </c>
      <c r="D17" s="110"/>
      <c r="E17" s="111"/>
      <c r="F17" s="110"/>
      <c r="G17" s="112"/>
      <c r="H17" s="110"/>
      <c r="I17" s="110"/>
      <c r="J17" s="110"/>
      <c r="K17" s="110"/>
      <c r="L17" s="391"/>
      <c r="M17" s="392"/>
      <c r="N17" s="82"/>
    </row>
    <row r="18" spans="1:14" ht="21.75" customHeight="1" thickBot="1">
      <c r="A18" s="71"/>
      <c r="B18" s="113"/>
      <c r="C18" s="114" t="str">
        <f t="shared" si="0"/>
        <v>S</v>
      </c>
      <c r="D18" s="115"/>
      <c r="E18" s="116"/>
      <c r="F18" s="115"/>
      <c r="G18" s="117"/>
      <c r="H18" s="115"/>
      <c r="I18" s="115"/>
      <c r="J18" s="115"/>
      <c r="K18" s="115"/>
      <c r="L18" s="393"/>
      <c r="M18" s="394"/>
      <c r="N18" s="82"/>
    </row>
    <row r="19" spans="1:14" ht="15.75">
      <c r="A19" s="71"/>
      <c r="B19" s="84"/>
      <c r="C19" s="85"/>
      <c r="D19" s="84"/>
      <c r="E19" s="84"/>
      <c r="F19" s="84"/>
      <c r="G19" s="84"/>
      <c r="H19" s="84"/>
      <c r="I19" s="84"/>
      <c r="J19" s="84"/>
      <c r="K19" s="84"/>
      <c r="L19" s="84"/>
      <c r="M19" s="86"/>
      <c r="N19" s="87"/>
    </row>
    <row r="20" spans="1:14" ht="15.75" customHeight="1">
      <c r="A20" s="71"/>
      <c r="B20" s="88"/>
      <c r="C20" s="74"/>
      <c r="D20" s="74"/>
      <c r="E20" s="74"/>
      <c r="F20" s="71"/>
      <c r="G20" s="74"/>
      <c r="H20" s="74"/>
      <c r="I20" s="74"/>
      <c r="J20" s="74"/>
      <c r="K20" s="74"/>
      <c r="L20" s="74"/>
      <c r="M20" s="89"/>
      <c r="N20" s="74"/>
    </row>
    <row r="21" spans="1:14" ht="21.75" customHeight="1">
      <c r="A21" s="71"/>
      <c r="B21" s="90"/>
      <c r="C21" s="91"/>
      <c r="D21" s="92"/>
      <c r="E21" s="93"/>
      <c r="F21" s="71"/>
      <c r="G21" s="92"/>
      <c r="H21" s="92"/>
      <c r="I21" s="92"/>
      <c r="J21" s="92"/>
      <c r="K21" s="94"/>
      <c r="L21" s="88"/>
      <c r="M21" s="71"/>
      <c r="N21" s="95"/>
    </row>
    <row r="22" spans="1:14" ht="21.75" customHeight="1">
      <c r="A22" s="71"/>
      <c r="B22" s="90"/>
      <c r="C22" s="91"/>
      <c r="D22" s="92"/>
      <c r="E22" s="93"/>
      <c r="F22" s="71"/>
      <c r="G22" s="92"/>
      <c r="H22" s="92"/>
      <c r="I22" s="92"/>
      <c r="J22" s="92"/>
      <c r="K22" s="94"/>
      <c r="L22" s="95"/>
      <c r="M22" s="71"/>
      <c r="N22" s="96"/>
    </row>
    <row r="23" spans="1:14" ht="21.75" customHeight="1">
      <c r="A23" s="71"/>
      <c r="B23" s="90"/>
      <c r="C23" s="91"/>
      <c r="D23" s="92"/>
      <c r="E23" s="93"/>
      <c r="F23" s="71"/>
      <c r="G23" s="92"/>
      <c r="H23" s="92"/>
      <c r="I23" s="92"/>
      <c r="J23" s="92"/>
      <c r="K23" s="94"/>
      <c r="L23" s="96"/>
      <c r="M23" s="71"/>
      <c r="N23" s="96"/>
    </row>
    <row r="24" spans="1:14" ht="21.75" customHeight="1">
      <c r="A24" s="71"/>
      <c r="B24" s="90"/>
      <c r="C24" s="91"/>
      <c r="D24" s="92"/>
      <c r="E24" s="93"/>
      <c r="F24" s="71"/>
      <c r="G24" s="92"/>
      <c r="H24" s="92"/>
      <c r="I24" s="92"/>
      <c r="J24" s="92"/>
      <c r="K24" s="94"/>
      <c r="L24" s="95"/>
      <c r="M24" s="97"/>
      <c r="N24" s="96"/>
    </row>
    <row r="25" spans="1:14" ht="21.75" customHeight="1">
      <c r="A25" s="71"/>
      <c r="B25" s="90"/>
      <c r="C25" s="91"/>
      <c r="D25" s="92"/>
      <c r="E25" s="93"/>
      <c r="F25" s="71"/>
      <c r="G25" s="92"/>
      <c r="H25" s="92"/>
      <c r="I25" s="92"/>
      <c r="J25" s="92"/>
      <c r="K25" s="94"/>
      <c r="L25" s="98"/>
      <c r="M25" s="71"/>
      <c r="N25" s="96"/>
    </row>
    <row r="26" spans="1:14" ht="21.75" customHeight="1">
      <c r="A26" s="71"/>
      <c r="B26" s="90"/>
      <c r="C26" s="91"/>
      <c r="D26" s="92"/>
      <c r="E26" s="93"/>
      <c r="F26" s="71"/>
      <c r="G26" s="92"/>
      <c r="H26" s="92"/>
      <c r="I26" s="92"/>
      <c r="J26" s="92"/>
      <c r="K26" s="94"/>
      <c r="L26" s="95"/>
      <c r="M26" s="71"/>
      <c r="N26" s="71"/>
    </row>
    <row r="27" spans="1:14" ht="21.75" customHeight="1">
      <c r="A27" s="71"/>
      <c r="B27" s="90"/>
      <c r="C27" s="91"/>
      <c r="D27" s="92"/>
      <c r="E27" s="93"/>
      <c r="F27" s="71"/>
      <c r="G27" s="92"/>
      <c r="H27" s="92"/>
      <c r="I27" s="92"/>
      <c r="J27" s="92"/>
      <c r="K27" s="94"/>
      <c r="L27" s="98"/>
      <c r="M27" s="71"/>
      <c r="N27" s="71"/>
    </row>
    <row r="28" spans="1:14" ht="15.75" customHeight="1">
      <c r="A28" s="71"/>
      <c r="B28" s="88"/>
      <c r="C28" s="74"/>
      <c r="D28" s="74"/>
      <c r="E28" s="74"/>
      <c r="F28" s="71"/>
      <c r="G28" s="74"/>
      <c r="H28" s="74"/>
      <c r="I28" s="74"/>
      <c r="J28" s="74"/>
      <c r="K28" s="74"/>
      <c r="L28" s="74"/>
      <c r="M28" s="74"/>
      <c r="N28" s="74"/>
    </row>
    <row r="29" spans="1:14" ht="21.75" customHeight="1">
      <c r="A29" s="71"/>
      <c r="B29" s="90"/>
      <c r="C29" s="91"/>
      <c r="D29" s="92"/>
      <c r="E29" s="93"/>
      <c r="F29" s="71"/>
      <c r="G29" s="92"/>
      <c r="H29" s="92"/>
      <c r="I29" s="92"/>
      <c r="J29" s="92"/>
      <c r="K29" s="94"/>
      <c r="L29" s="88"/>
      <c r="M29" s="71"/>
      <c r="N29" s="95"/>
    </row>
    <row r="30" spans="1:14" ht="21.75" customHeight="1">
      <c r="A30" s="71"/>
      <c r="B30" s="90"/>
      <c r="C30" s="91"/>
      <c r="D30" s="92"/>
      <c r="E30" s="93"/>
      <c r="F30" s="71"/>
      <c r="G30" s="92"/>
      <c r="H30" s="92"/>
      <c r="I30" s="92"/>
      <c r="J30" s="92"/>
      <c r="K30" s="94"/>
      <c r="L30" s="95"/>
      <c r="M30" s="71"/>
      <c r="N30" s="96"/>
    </row>
    <row r="31" spans="1:14" ht="21.75" customHeight="1">
      <c r="A31" s="71"/>
      <c r="B31" s="90"/>
      <c r="C31" s="91"/>
      <c r="D31" s="92"/>
      <c r="E31" s="93"/>
      <c r="F31" s="71"/>
      <c r="G31" s="92"/>
      <c r="H31" s="92"/>
      <c r="I31" s="92"/>
      <c r="J31" s="92"/>
      <c r="K31" s="94"/>
      <c r="L31" s="96"/>
      <c r="M31" s="71"/>
      <c r="N31" s="96"/>
    </row>
  </sheetData>
  <mergeCells count="11">
    <mergeCell ref="L15:M15"/>
    <mergeCell ref="L16:M16"/>
    <mergeCell ref="L17:M17"/>
    <mergeCell ref="L18:M18"/>
    <mergeCell ref="B3:L6"/>
    <mergeCell ref="B10:M11"/>
    <mergeCell ref="L12:M12"/>
    <mergeCell ref="L13:M13"/>
    <mergeCell ref="L14:M14"/>
    <mergeCell ref="G7:J7"/>
    <mergeCell ref="L9:M9"/>
  </mergeCells>
  <conditionalFormatting sqref="J21:J27">
    <cfRule type="cellIs" dxfId="75" priority="15" operator="equal">
      <formula>1</formula>
    </cfRule>
    <cfRule type="cellIs" dxfId="74" priority="16" operator="equal">
      <formula>2</formula>
    </cfRule>
  </conditionalFormatting>
  <conditionalFormatting sqref="J29:J31">
    <cfRule type="cellIs" dxfId="73" priority="17" operator="equal">
      <formula>1</formula>
    </cfRule>
    <cfRule type="cellIs" dxfId="72" priority="18" operator="equal">
      <formula>2</formula>
    </cfRule>
  </conditionalFormatting>
  <conditionalFormatting sqref="K12:L18">
    <cfRule type="cellIs" dxfId="71" priority="1" operator="equal">
      <formula>1</formula>
    </cfRule>
    <cfRule type="cellIs" dxfId="70" priority="2" operator="equal">
      <formula>2</formula>
    </cfRule>
    <cfRule type="cellIs" dxfId="69" priority="5" operator="equal">
      <formula>"Y"</formula>
    </cfRule>
    <cfRule type="cellIs" dxfId="68" priority="6" operator="equal">
      <formula>"N"</formula>
    </cfRule>
  </conditionalFormatting>
  <dataValidations count="1">
    <dataValidation type="list" allowBlank="1" showErrorMessage="1" sqref="F12:F18" xr:uid="{00000000-0002-0000-0100-000000000000}">
      <formula1>#REF!</formula1>
    </dataValidation>
  </dataValidations>
  <printOptions horizontalCentered="1" verticalCentered="1"/>
  <pageMargins left="0.23622047244094491" right="0.23622047244094491" top="0.74803149606299213" bottom="0.74803149606299213" header="0.31496062992125984" footer="0.31496062992125984"/>
  <pageSetup paperSize="9" scale="7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38"/>
  <sheetViews>
    <sheetView topLeftCell="A4" zoomScale="80" zoomScaleNormal="80" workbookViewId="0">
      <selection activeCell="B70" sqref="B70:L71"/>
    </sheetView>
  </sheetViews>
  <sheetFormatPr defaultColWidth="12.625" defaultRowHeight="15" customHeight="1"/>
  <cols>
    <col min="1" max="1" width="2" style="70" customWidth="1"/>
    <col min="2" max="3" width="11.25" style="70" customWidth="1"/>
    <col min="4" max="4" width="10.375" style="70" customWidth="1"/>
    <col min="5" max="5" width="8.625" style="70" customWidth="1"/>
    <col min="6" max="6" width="15.25" style="70" customWidth="1"/>
    <col min="7" max="7" width="7.75" style="70" customWidth="1"/>
    <col min="8" max="8" width="11.75" style="70" customWidth="1"/>
    <col min="9" max="9" width="12.25" style="70" customWidth="1"/>
    <col min="10" max="10" width="14.125" style="70" customWidth="1"/>
    <col min="11" max="11" width="19.625" style="70" customWidth="1"/>
    <col min="12" max="12" width="32" style="70" customWidth="1"/>
    <col min="13" max="13" width="23" style="70" customWidth="1"/>
    <col min="14" max="14" width="4.875" style="70" customWidth="1"/>
    <col min="15" max="15" width="166" style="70" customWidth="1"/>
    <col min="16" max="16" width="14.25" style="70" customWidth="1"/>
    <col min="17" max="22" width="7.125" style="70" customWidth="1"/>
    <col min="23" max="23" width="10" style="70" customWidth="1"/>
    <col min="24" max="24" width="21.125" style="70" customWidth="1"/>
    <col min="25" max="16384" width="12.625" style="70"/>
  </cols>
  <sheetData>
    <row r="1" spans="1:24">
      <c r="A1" s="118"/>
      <c r="B1" s="118"/>
      <c r="C1" s="118"/>
      <c r="D1" s="118"/>
      <c r="E1" s="118"/>
      <c r="F1" s="118"/>
      <c r="G1" s="118"/>
      <c r="H1" s="118"/>
      <c r="I1" s="118"/>
      <c r="J1" s="118"/>
      <c r="K1" s="118"/>
      <c r="L1" s="118"/>
      <c r="M1" s="118"/>
      <c r="N1" s="118"/>
      <c r="O1" s="118"/>
      <c r="P1" s="118"/>
      <c r="Q1" s="118"/>
      <c r="R1" s="118"/>
      <c r="S1" s="118"/>
      <c r="T1" s="118"/>
      <c r="U1" s="118"/>
      <c r="V1" s="118"/>
      <c r="W1" s="118"/>
      <c r="X1" s="118"/>
    </row>
    <row r="2" spans="1:24">
      <c r="A2" s="118"/>
      <c r="B2" s="118"/>
      <c r="C2" s="118"/>
      <c r="D2" s="118"/>
      <c r="E2" s="118"/>
      <c r="F2" s="118"/>
      <c r="G2" s="118"/>
      <c r="H2" s="118"/>
      <c r="I2" s="118"/>
      <c r="J2" s="118"/>
      <c r="K2" s="118"/>
      <c r="L2" s="118"/>
      <c r="M2" s="118"/>
      <c r="N2" s="118"/>
      <c r="O2" s="118"/>
      <c r="P2" s="118"/>
      <c r="Q2" s="118"/>
      <c r="R2" s="118"/>
      <c r="S2" s="118"/>
      <c r="T2" s="118"/>
      <c r="U2" s="118"/>
      <c r="V2" s="118"/>
      <c r="W2" s="118"/>
      <c r="X2" s="118"/>
    </row>
    <row r="3" spans="1:24">
      <c r="A3" s="118"/>
      <c r="B3" s="422" t="s">
        <v>66</v>
      </c>
      <c r="C3" s="415"/>
      <c r="D3" s="415"/>
      <c r="E3" s="415"/>
      <c r="F3" s="415"/>
      <c r="G3" s="415"/>
      <c r="H3" s="415"/>
      <c r="I3" s="415"/>
      <c r="J3" s="415"/>
      <c r="K3" s="415"/>
      <c r="L3" s="415"/>
      <c r="M3" s="118"/>
      <c r="N3" s="118"/>
      <c r="O3" s="118"/>
      <c r="P3" s="118"/>
      <c r="Q3" s="118"/>
      <c r="R3" s="118"/>
      <c r="S3" s="118"/>
      <c r="T3" s="118"/>
      <c r="U3" s="118"/>
      <c r="V3" s="118"/>
      <c r="W3" s="118"/>
      <c r="X3" s="118"/>
    </row>
    <row r="4" spans="1:24">
      <c r="A4" s="118"/>
      <c r="B4" s="415"/>
      <c r="C4" s="380"/>
      <c r="D4" s="380"/>
      <c r="E4" s="380"/>
      <c r="F4" s="380"/>
      <c r="G4" s="380"/>
      <c r="H4" s="380"/>
      <c r="I4" s="380"/>
      <c r="J4" s="380"/>
      <c r="K4" s="380"/>
      <c r="L4" s="380"/>
      <c r="M4" s="118"/>
      <c r="N4" s="118"/>
      <c r="O4" s="118"/>
      <c r="P4" s="118"/>
      <c r="Q4" s="118"/>
      <c r="R4" s="118"/>
      <c r="S4" s="118"/>
      <c r="T4" s="118"/>
      <c r="U4" s="118"/>
      <c r="V4" s="118"/>
      <c r="W4" s="118"/>
      <c r="X4" s="118"/>
    </row>
    <row r="5" spans="1:24">
      <c r="A5" s="118"/>
      <c r="B5" s="415"/>
      <c r="C5" s="380"/>
      <c r="D5" s="380"/>
      <c r="E5" s="380"/>
      <c r="F5" s="380"/>
      <c r="G5" s="380"/>
      <c r="H5" s="380"/>
      <c r="I5" s="380"/>
      <c r="J5" s="380"/>
      <c r="K5" s="380"/>
      <c r="L5" s="380"/>
      <c r="M5" s="118"/>
      <c r="N5" s="118"/>
      <c r="O5" s="118"/>
      <c r="P5" s="118"/>
      <c r="Q5" s="118"/>
      <c r="R5" s="118"/>
      <c r="S5" s="118"/>
      <c r="T5" s="118"/>
      <c r="U5" s="118"/>
      <c r="V5" s="118"/>
      <c r="W5" s="118"/>
      <c r="X5" s="118"/>
    </row>
    <row r="6" spans="1:24" ht="15.75" customHeight="1">
      <c r="A6" s="118"/>
      <c r="B6" s="415"/>
      <c r="C6" s="380"/>
      <c r="D6" s="380"/>
      <c r="E6" s="380"/>
      <c r="F6" s="380"/>
      <c r="G6" s="380"/>
      <c r="H6" s="380"/>
      <c r="I6" s="380"/>
      <c r="J6" s="380"/>
      <c r="K6" s="380"/>
      <c r="L6" s="380"/>
      <c r="M6" s="119"/>
      <c r="N6" s="119"/>
      <c r="O6" s="119"/>
      <c r="P6" s="119"/>
      <c r="Q6" s="119"/>
      <c r="R6" s="119"/>
      <c r="S6" s="119"/>
      <c r="T6" s="119"/>
      <c r="U6" s="119"/>
      <c r="V6" s="119"/>
      <c r="W6" s="118"/>
      <c r="X6" s="118"/>
    </row>
    <row r="7" spans="1:24" ht="15.75" customHeight="1">
      <c r="A7" s="118"/>
      <c r="B7" s="120"/>
      <c r="C7" s="86"/>
      <c r="D7" s="86"/>
      <c r="E7" s="86"/>
      <c r="F7" s="423" t="s">
        <v>170</v>
      </c>
      <c r="G7" s="423"/>
      <c r="H7" s="423"/>
      <c r="I7" s="423"/>
      <c r="J7" s="423"/>
      <c r="K7" s="423"/>
      <c r="L7" s="86"/>
      <c r="M7" s="121"/>
      <c r="N7" s="121"/>
      <c r="O7" s="121"/>
      <c r="P7" s="121"/>
      <c r="Q7" s="121"/>
      <c r="R7" s="121"/>
      <c r="S7" s="121"/>
      <c r="T7" s="121"/>
      <c r="U7" s="121"/>
      <c r="V7" s="121"/>
      <c r="W7" s="118"/>
      <c r="X7" s="118"/>
    </row>
    <row r="8" spans="1:24" ht="44.25">
      <c r="A8" s="118"/>
      <c r="B8" s="77"/>
      <c r="C8" s="78"/>
      <c r="D8" s="78"/>
      <c r="E8" s="78"/>
      <c r="F8" s="78"/>
      <c r="G8" s="78"/>
      <c r="H8" s="78"/>
      <c r="I8" s="78"/>
      <c r="J8" s="78"/>
      <c r="K8" s="78"/>
      <c r="L8" s="78"/>
      <c r="M8" s="78"/>
      <c r="N8" s="78"/>
      <c r="O8" s="78"/>
      <c r="P8" s="78"/>
      <c r="Q8" s="78"/>
      <c r="R8" s="78"/>
      <c r="S8" s="78"/>
      <c r="T8" s="78"/>
      <c r="U8" s="78"/>
      <c r="V8" s="78"/>
      <c r="W8" s="118"/>
      <c r="X8" s="118"/>
    </row>
    <row r="9" spans="1:24" ht="39.75" customHeight="1" thickBot="1">
      <c r="A9" s="118"/>
      <c r="B9" s="166" t="s">
        <v>29</v>
      </c>
      <c r="C9" s="166" t="s">
        <v>30</v>
      </c>
      <c r="D9" s="166" t="s">
        <v>31</v>
      </c>
      <c r="E9" s="166" t="s">
        <v>32</v>
      </c>
      <c r="F9" s="166" t="s">
        <v>33</v>
      </c>
      <c r="G9" s="167" t="s">
        <v>34</v>
      </c>
      <c r="H9" s="166" t="s">
        <v>23</v>
      </c>
      <c r="I9" s="166" t="s">
        <v>22</v>
      </c>
      <c r="J9" s="166" t="s">
        <v>35</v>
      </c>
      <c r="K9" s="166" t="s">
        <v>36</v>
      </c>
      <c r="L9" s="168" t="s">
        <v>37</v>
      </c>
      <c r="M9" s="169"/>
      <c r="N9" s="122"/>
      <c r="O9" s="122"/>
      <c r="P9" s="122"/>
      <c r="Q9" s="122"/>
      <c r="R9" s="122"/>
      <c r="S9" s="122"/>
      <c r="T9" s="122"/>
      <c r="U9" s="122"/>
      <c r="V9" s="122"/>
      <c r="W9" s="118"/>
      <c r="X9" s="118"/>
    </row>
    <row r="10" spans="1:24" ht="18.75" thickBot="1">
      <c r="A10" s="118"/>
      <c r="B10" s="396" t="s">
        <v>205</v>
      </c>
      <c r="C10" s="409"/>
      <c r="D10" s="409"/>
      <c r="E10" s="409"/>
      <c r="F10" s="409"/>
      <c r="G10" s="409"/>
      <c r="H10" s="409"/>
      <c r="I10" s="409"/>
      <c r="J10" s="409"/>
      <c r="K10" s="409"/>
      <c r="L10" s="409"/>
      <c r="M10" s="170" t="s">
        <v>38</v>
      </c>
      <c r="N10" s="86"/>
      <c r="O10" s="123" t="s">
        <v>206</v>
      </c>
      <c r="P10" s="86"/>
      <c r="Q10" s="86"/>
      <c r="R10" s="86"/>
      <c r="S10" s="86"/>
      <c r="T10" s="86"/>
      <c r="U10" s="86"/>
      <c r="V10" s="124"/>
      <c r="W10" s="118"/>
      <c r="X10" s="118"/>
    </row>
    <row r="11" spans="1:24" ht="21.75" customHeight="1" thickBot="1">
      <c r="A11" s="118"/>
      <c r="B11" s="411"/>
      <c r="C11" s="412"/>
      <c r="D11" s="412"/>
      <c r="E11" s="412"/>
      <c r="F11" s="412"/>
      <c r="G11" s="412"/>
      <c r="H11" s="412"/>
      <c r="I11" s="412"/>
      <c r="J11" s="412"/>
      <c r="K11" s="412"/>
      <c r="L11" s="412"/>
      <c r="M11" s="171" t="s">
        <v>207</v>
      </c>
      <c r="N11" s="118"/>
      <c r="O11" s="125" t="s">
        <v>31</v>
      </c>
      <c r="P11" s="126"/>
      <c r="Q11" s="126"/>
      <c r="R11" s="126"/>
      <c r="S11" s="126"/>
      <c r="T11" s="126"/>
      <c r="U11" s="126"/>
      <c r="V11" s="126"/>
      <c r="W11" s="118"/>
      <c r="X11" s="118"/>
    </row>
    <row r="12" spans="1:24" ht="21.75" customHeight="1" thickBot="1">
      <c r="A12" s="118"/>
      <c r="B12" s="172" t="s">
        <v>208</v>
      </c>
      <c r="C12" s="173" t="str">
        <f t="shared" ref="C12:C18" si="0">LEFT(TEXT(B12,"dddd"))</f>
        <v>D</v>
      </c>
      <c r="D12" s="174">
        <v>73</v>
      </c>
      <c r="E12" s="175">
        <v>0.25</v>
      </c>
      <c r="F12" s="176" t="s">
        <v>209</v>
      </c>
      <c r="G12" s="177">
        <v>12500</v>
      </c>
      <c r="H12" s="176">
        <v>152</v>
      </c>
      <c r="I12" s="176">
        <v>1645</v>
      </c>
      <c r="J12" s="176" t="s">
        <v>210</v>
      </c>
      <c r="K12" s="176" t="s">
        <v>211</v>
      </c>
      <c r="L12" s="178"/>
      <c r="M12" s="179">
        <f>IFERROR(AVERAGEIF(I12:I18,"&gt;"&amp;0,I12:I18),0)</f>
        <v>1656.4285714285713</v>
      </c>
      <c r="N12" s="118"/>
      <c r="O12" s="127" t="s">
        <v>212</v>
      </c>
      <c r="P12" s="126"/>
      <c r="Q12" s="416"/>
      <c r="R12" s="415"/>
      <c r="S12" s="416"/>
      <c r="T12" s="415"/>
      <c r="U12" s="416"/>
      <c r="V12" s="415"/>
      <c r="W12" s="118"/>
      <c r="X12" s="118"/>
    </row>
    <row r="13" spans="1:24" ht="21.75" customHeight="1">
      <c r="A13" s="118"/>
      <c r="B13" s="180" t="s">
        <v>213</v>
      </c>
      <c r="C13" s="181" t="str">
        <f t="shared" si="0"/>
        <v>D</v>
      </c>
      <c r="D13" s="182">
        <v>72.5</v>
      </c>
      <c r="E13" s="183">
        <v>0.25</v>
      </c>
      <c r="F13" s="184" t="s">
        <v>214</v>
      </c>
      <c r="G13" s="177">
        <v>12501</v>
      </c>
      <c r="H13" s="184">
        <v>145</v>
      </c>
      <c r="I13" s="176">
        <v>1650</v>
      </c>
      <c r="J13" s="184" t="s">
        <v>215</v>
      </c>
      <c r="K13" s="176" t="s">
        <v>211</v>
      </c>
      <c r="L13" s="185"/>
      <c r="M13" s="171" t="s">
        <v>39</v>
      </c>
      <c r="N13" s="118"/>
      <c r="O13" s="128" t="s">
        <v>32</v>
      </c>
      <c r="P13" s="129"/>
      <c r="Q13" s="414"/>
      <c r="R13" s="415"/>
      <c r="S13" s="414"/>
      <c r="T13" s="415"/>
      <c r="U13" s="414"/>
      <c r="V13" s="415"/>
      <c r="W13" s="118"/>
      <c r="X13" s="118"/>
    </row>
    <row r="14" spans="1:24" ht="39" customHeight="1" thickBot="1">
      <c r="A14" s="118"/>
      <c r="B14" s="180" t="s">
        <v>216</v>
      </c>
      <c r="C14" s="181" t="str">
        <f t="shared" si="0"/>
        <v>D</v>
      </c>
      <c r="D14" s="182">
        <v>72</v>
      </c>
      <c r="E14" s="183">
        <v>0.25</v>
      </c>
      <c r="F14" s="184" t="s">
        <v>217</v>
      </c>
      <c r="G14" s="177">
        <v>11251</v>
      </c>
      <c r="H14" s="184">
        <v>167</v>
      </c>
      <c r="I14" s="176">
        <v>1750</v>
      </c>
      <c r="J14" s="184" t="s">
        <v>218</v>
      </c>
      <c r="K14" s="176" t="s">
        <v>219</v>
      </c>
      <c r="L14" s="185" t="s">
        <v>220</v>
      </c>
      <c r="M14" s="186">
        <f>IFERROR(AVERAGEIF(G12:G18,"&gt;"&amp;0,G12:G18),0)</f>
        <v>12610.857142857143</v>
      </c>
      <c r="N14" s="118"/>
      <c r="O14" s="130" t="s">
        <v>221</v>
      </c>
      <c r="P14" s="129"/>
      <c r="Q14" s="414"/>
      <c r="R14" s="415"/>
      <c r="S14" s="414"/>
      <c r="T14" s="415"/>
      <c r="U14" s="414"/>
      <c r="V14" s="415"/>
      <c r="W14" s="118"/>
      <c r="X14" s="118" t="s">
        <v>209</v>
      </c>
    </row>
    <row r="15" spans="1:24" ht="21.75" customHeight="1">
      <c r="A15" s="118"/>
      <c r="B15" s="180" t="s">
        <v>222</v>
      </c>
      <c r="C15" s="181" t="str">
        <f t="shared" si="0"/>
        <v>D</v>
      </c>
      <c r="D15" s="182">
        <v>72.3</v>
      </c>
      <c r="E15" s="183">
        <v>0.25</v>
      </c>
      <c r="F15" s="184" t="s">
        <v>214</v>
      </c>
      <c r="G15" s="177">
        <v>14521</v>
      </c>
      <c r="H15" s="184">
        <v>180</v>
      </c>
      <c r="I15" s="176">
        <v>1500</v>
      </c>
      <c r="J15" s="184" t="s">
        <v>223</v>
      </c>
      <c r="K15" s="176" t="s">
        <v>211</v>
      </c>
      <c r="L15" s="185"/>
      <c r="M15" s="171" t="s">
        <v>40</v>
      </c>
      <c r="N15" s="131"/>
      <c r="O15" s="128" t="s">
        <v>33</v>
      </c>
      <c r="P15" s="129"/>
      <c r="Q15" s="414"/>
      <c r="R15" s="415"/>
      <c r="S15" s="414"/>
      <c r="T15" s="415"/>
      <c r="U15" s="414"/>
      <c r="V15" s="415"/>
      <c r="W15" s="118"/>
      <c r="X15" s="118" t="s">
        <v>214</v>
      </c>
    </row>
    <row r="16" spans="1:24" ht="21.75" customHeight="1" thickBot="1">
      <c r="A16" s="118"/>
      <c r="B16" s="180" t="s">
        <v>224</v>
      </c>
      <c r="C16" s="181" t="str">
        <f t="shared" si="0"/>
        <v>D</v>
      </c>
      <c r="D16" s="182">
        <v>72</v>
      </c>
      <c r="E16" s="183">
        <v>0.25</v>
      </c>
      <c r="F16" s="184" t="s">
        <v>209</v>
      </c>
      <c r="G16" s="177">
        <v>13450</v>
      </c>
      <c r="H16" s="184">
        <v>175</v>
      </c>
      <c r="I16" s="176">
        <v>1650</v>
      </c>
      <c r="J16" s="184" t="s">
        <v>210</v>
      </c>
      <c r="K16" s="176" t="s">
        <v>211</v>
      </c>
      <c r="L16" s="185" t="s">
        <v>225</v>
      </c>
      <c r="M16" s="187">
        <f>IFERROR(AVERAGEIF(D12:D18,"&gt;"&amp;0,D12:D18),0)</f>
        <v>72.142857142857139</v>
      </c>
      <c r="N16" s="118"/>
      <c r="O16" s="132" t="s">
        <v>226</v>
      </c>
      <c r="P16" s="129"/>
      <c r="Q16" s="414"/>
      <c r="R16" s="415"/>
      <c r="S16" s="414"/>
      <c r="T16" s="415"/>
      <c r="U16" s="414"/>
      <c r="V16" s="415"/>
      <c r="W16" s="118"/>
      <c r="X16" s="118" t="s">
        <v>217</v>
      </c>
    </row>
    <row r="17" spans="1:24" ht="21.75" customHeight="1">
      <c r="A17" s="118"/>
      <c r="B17" s="180" t="s">
        <v>227</v>
      </c>
      <c r="C17" s="181" t="str">
        <f t="shared" si="0"/>
        <v>D</v>
      </c>
      <c r="D17" s="182">
        <v>71.8</v>
      </c>
      <c r="E17" s="183">
        <v>0.25</v>
      </c>
      <c r="F17" s="184" t="s">
        <v>214</v>
      </c>
      <c r="G17" s="177">
        <v>9852</v>
      </c>
      <c r="H17" s="184">
        <v>145</v>
      </c>
      <c r="I17" s="176">
        <v>1800</v>
      </c>
      <c r="J17" s="184" t="s">
        <v>228</v>
      </c>
      <c r="K17" s="176" t="s">
        <v>219</v>
      </c>
      <c r="L17" s="185" t="s">
        <v>229</v>
      </c>
      <c r="M17" s="171" t="s">
        <v>41</v>
      </c>
      <c r="N17" s="118"/>
      <c r="O17" s="133" t="s">
        <v>34</v>
      </c>
      <c r="P17" s="126"/>
      <c r="Q17" s="416"/>
      <c r="R17" s="415"/>
      <c r="S17" s="416"/>
      <c r="T17" s="415"/>
      <c r="U17" s="416"/>
      <c r="V17" s="415"/>
      <c r="W17" s="118"/>
      <c r="X17" s="118"/>
    </row>
    <row r="18" spans="1:24" ht="21.75" customHeight="1">
      <c r="A18" s="118"/>
      <c r="B18" s="188" t="s">
        <v>230</v>
      </c>
      <c r="C18" s="189" t="str">
        <f t="shared" si="0"/>
        <v>D</v>
      </c>
      <c r="D18" s="190">
        <v>71.400000000000006</v>
      </c>
      <c r="E18" s="191">
        <v>0.25</v>
      </c>
      <c r="F18" s="192" t="s">
        <v>217</v>
      </c>
      <c r="G18" s="193">
        <v>14201</v>
      </c>
      <c r="H18" s="192">
        <v>160</v>
      </c>
      <c r="I18" s="194">
        <v>1600</v>
      </c>
      <c r="J18" s="192" t="s">
        <v>231</v>
      </c>
      <c r="K18" s="176" t="s">
        <v>211</v>
      </c>
      <c r="L18" s="195" t="s">
        <v>232</v>
      </c>
      <c r="M18" s="196">
        <f>1-(M16/D12)</f>
        <v>1.1741682974559797E-2</v>
      </c>
      <c r="N18" s="118"/>
      <c r="O18" s="132" t="s">
        <v>233</v>
      </c>
      <c r="P18" s="129"/>
      <c r="Q18" s="414"/>
      <c r="R18" s="415"/>
      <c r="S18" s="414"/>
      <c r="T18" s="415"/>
      <c r="U18" s="414"/>
      <c r="V18" s="415"/>
      <c r="W18" s="118"/>
      <c r="X18" s="118"/>
    </row>
    <row r="19" spans="1:24" ht="21.75" customHeight="1" thickBot="1">
      <c r="A19" s="118"/>
      <c r="B19" s="118"/>
      <c r="C19" s="118"/>
      <c r="D19" s="118"/>
      <c r="E19" s="118"/>
      <c r="F19" s="118"/>
      <c r="G19" s="118"/>
      <c r="H19" s="118"/>
      <c r="I19" s="118"/>
      <c r="J19" s="118"/>
      <c r="K19" s="118"/>
      <c r="L19" s="118"/>
      <c r="M19" s="118"/>
      <c r="N19" s="118"/>
      <c r="O19" s="366"/>
      <c r="P19" s="129"/>
      <c r="Q19" s="129"/>
      <c r="R19" s="78"/>
      <c r="S19" s="129"/>
      <c r="T19" s="78"/>
      <c r="U19" s="129"/>
      <c r="V19" s="78"/>
      <c r="W19" s="118"/>
      <c r="X19" s="118"/>
    </row>
    <row r="20" spans="1:24" ht="18.75" thickBot="1">
      <c r="A20" s="118"/>
      <c r="B20" s="396" t="s">
        <v>13</v>
      </c>
      <c r="C20" s="409"/>
      <c r="D20" s="409"/>
      <c r="E20" s="409"/>
      <c r="F20" s="409"/>
      <c r="G20" s="409"/>
      <c r="H20" s="409"/>
      <c r="I20" s="409"/>
      <c r="J20" s="409"/>
      <c r="K20" s="409"/>
      <c r="L20" s="409"/>
      <c r="M20" s="170" t="s">
        <v>38</v>
      </c>
      <c r="N20" s="86"/>
      <c r="O20" s="128" t="s">
        <v>23</v>
      </c>
      <c r="P20" s="86"/>
      <c r="Q20" s="86"/>
      <c r="R20" s="86"/>
      <c r="S20" s="86"/>
      <c r="T20" s="86"/>
      <c r="U20" s="86"/>
      <c r="V20" s="124"/>
      <c r="W20" s="118"/>
      <c r="X20" s="118"/>
    </row>
    <row r="21" spans="1:24" ht="21.75" customHeight="1" thickBot="1">
      <c r="A21" s="118"/>
      <c r="B21" s="411"/>
      <c r="C21" s="412"/>
      <c r="D21" s="412"/>
      <c r="E21" s="412"/>
      <c r="F21" s="412"/>
      <c r="G21" s="412"/>
      <c r="H21" s="412"/>
      <c r="I21" s="412"/>
      <c r="J21" s="412"/>
      <c r="K21" s="412"/>
      <c r="L21" s="412"/>
      <c r="M21" s="171" t="s">
        <v>207</v>
      </c>
      <c r="N21" s="118"/>
      <c r="O21" s="130" t="s">
        <v>234</v>
      </c>
      <c r="P21" s="126"/>
      <c r="Q21" s="126"/>
      <c r="R21" s="126"/>
      <c r="S21" s="126"/>
      <c r="T21" s="126"/>
      <c r="U21" s="126"/>
      <c r="V21" s="126"/>
      <c r="W21" s="118"/>
      <c r="X21" s="118"/>
    </row>
    <row r="22" spans="1:24" ht="21.75" customHeight="1" thickBot="1">
      <c r="A22" s="118"/>
      <c r="B22" s="172">
        <f>'Front Sheet'!E9</f>
        <v>46314</v>
      </c>
      <c r="C22" s="181" t="str">
        <f t="shared" ref="C22:C28" si="1">LEFT(TEXT(B22,"dddd"))</f>
        <v>M</v>
      </c>
      <c r="D22" s="174"/>
      <c r="E22" s="183"/>
      <c r="F22" s="176"/>
      <c r="G22" s="177"/>
      <c r="H22" s="176"/>
      <c r="I22" s="176"/>
      <c r="J22" s="176"/>
      <c r="K22" s="176"/>
      <c r="L22" s="178"/>
      <c r="M22" s="179">
        <f>IFERROR(AVERAGEIF(I22:I28,"&gt;"&amp;0,I22:I28),0)</f>
        <v>0</v>
      </c>
      <c r="N22" s="118"/>
      <c r="O22" s="134" t="s">
        <v>22</v>
      </c>
      <c r="P22" s="126"/>
      <c r="Q22" s="416"/>
      <c r="R22" s="415"/>
      <c r="S22" s="416"/>
      <c r="T22" s="415"/>
      <c r="U22" s="416"/>
      <c r="V22" s="415"/>
      <c r="W22" s="118"/>
      <c r="X22" s="118"/>
    </row>
    <row r="23" spans="1:24" ht="21.75" customHeight="1">
      <c r="A23" s="118"/>
      <c r="B23" s="180">
        <f t="shared" ref="B23:B28" si="2">B22+1</f>
        <v>46315</v>
      </c>
      <c r="C23" s="181" t="str">
        <f t="shared" si="1"/>
        <v>T</v>
      </c>
      <c r="D23" s="182"/>
      <c r="E23" s="183"/>
      <c r="F23" s="184"/>
      <c r="G23" s="177">
        <v>11000</v>
      </c>
      <c r="H23" s="184"/>
      <c r="I23" s="176"/>
      <c r="J23" s="184"/>
      <c r="K23" s="176" t="s">
        <v>211</v>
      </c>
      <c r="L23" s="185"/>
      <c r="M23" s="171" t="s">
        <v>39</v>
      </c>
      <c r="N23" s="118"/>
      <c r="O23" s="132" t="s">
        <v>236</v>
      </c>
      <c r="P23" s="129"/>
      <c r="Q23" s="414"/>
      <c r="R23" s="415"/>
      <c r="S23" s="414"/>
      <c r="T23" s="415"/>
      <c r="U23" s="414"/>
      <c r="V23" s="415"/>
      <c r="W23" s="118"/>
      <c r="X23" s="118"/>
    </row>
    <row r="24" spans="1:24" ht="39" customHeight="1" thickBot="1">
      <c r="A24" s="118"/>
      <c r="B24" s="180">
        <f t="shared" si="2"/>
        <v>46316</v>
      </c>
      <c r="C24" s="181" t="str">
        <f t="shared" si="1"/>
        <v>W</v>
      </c>
      <c r="D24" s="182"/>
      <c r="E24" s="183"/>
      <c r="F24" s="184"/>
      <c r="G24" s="177"/>
      <c r="H24" s="184"/>
      <c r="I24" s="176"/>
      <c r="J24" s="184"/>
      <c r="K24" s="176"/>
      <c r="L24" s="185"/>
      <c r="M24" s="186">
        <f>IFERROR(AVERAGEIF(G22:G28,"&gt;"&amp;0,G22:G28),0)</f>
        <v>11000</v>
      </c>
      <c r="N24" s="118"/>
      <c r="O24" s="135" t="s">
        <v>35</v>
      </c>
      <c r="P24" s="129"/>
      <c r="Q24" s="414"/>
      <c r="R24" s="415"/>
      <c r="S24" s="414"/>
      <c r="T24" s="415"/>
      <c r="U24" s="414"/>
      <c r="V24" s="415"/>
      <c r="W24" s="118"/>
      <c r="X24" s="118" t="s">
        <v>209</v>
      </c>
    </row>
    <row r="25" spans="1:24" ht="21.75" customHeight="1">
      <c r="A25" s="118"/>
      <c r="B25" s="180">
        <f t="shared" si="2"/>
        <v>46317</v>
      </c>
      <c r="C25" s="181" t="str">
        <f t="shared" si="1"/>
        <v>T</v>
      </c>
      <c r="D25" s="182"/>
      <c r="E25" s="183"/>
      <c r="F25" s="184"/>
      <c r="G25" s="177"/>
      <c r="H25" s="184"/>
      <c r="I25" s="176"/>
      <c r="J25" s="184"/>
      <c r="K25" s="176"/>
      <c r="L25" s="185"/>
      <c r="M25" s="171" t="s">
        <v>40</v>
      </c>
      <c r="N25" s="131"/>
      <c r="O25" s="130" t="s">
        <v>237</v>
      </c>
      <c r="P25" s="129"/>
      <c r="Q25" s="414"/>
      <c r="R25" s="415"/>
      <c r="S25" s="414"/>
      <c r="T25" s="415"/>
      <c r="U25" s="414"/>
      <c r="V25" s="415"/>
      <c r="W25" s="118"/>
      <c r="X25" s="118" t="s">
        <v>214</v>
      </c>
    </row>
    <row r="26" spans="1:24" ht="21.75" customHeight="1" thickBot="1">
      <c r="A26" s="118"/>
      <c r="B26" s="180">
        <f t="shared" si="2"/>
        <v>46318</v>
      </c>
      <c r="C26" s="181" t="str">
        <f t="shared" si="1"/>
        <v>F</v>
      </c>
      <c r="D26" s="182"/>
      <c r="E26" s="183"/>
      <c r="F26" s="184"/>
      <c r="G26" s="177"/>
      <c r="H26" s="184"/>
      <c r="I26" s="176"/>
      <c r="J26" s="184"/>
      <c r="K26" s="176"/>
      <c r="L26" s="185"/>
      <c r="M26" s="187">
        <f>IFERROR(AVERAGEIF(D22:D28,"&gt;"&amp;0,D22:D28),0)</f>
        <v>0</v>
      </c>
      <c r="N26" s="118"/>
      <c r="O26" s="128" t="s">
        <v>238</v>
      </c>
      <c r="P26" s="129"/>
      <c r="Q26" s="414"/>
      <c r="R26" s="415"/>
      <c r="S26" s="414"/>
      <c r="T26" s="415"/>
      <c r="U26" s="414"/>
      <c r="V26" s="415"/>
      <c r="W26" s="118"/>
      <c r="X26" s="118" t="s">
        <v>217</v>
      </c>
    </row>
    <row r="27" spans="1:24" ht="21.75" customHeight="1" thickBot="1">
      <c r="A27" s="118"/>
      <c r="B27" s="180">
        <f t="shared" si="2"/>
        <v>46319</v>
      </c>
      <c r="C27" s="197" t="str">
        <f t="shared" si="1"/>
        <v>S</v>
      </c>
      <c r="D27" s="182"/>
      <c r="E27" s="183"/>
      <c r="F27" s="184"/>
      <c r="G27" s="177"/>
      <c r="H27" s="184"/>
      <c r="I27" s="176"/>
      <c r="J27" s="184"/>
      <c r="K27" s="176"/>
      <c r="L27" s="185"/>
      <c r="M27" s="171" t="s">
        <v>41</v>
      </c>
      <c r="N27" s="118"/>
      <c r="O27" s="420" t="s">
        <v>239</v>
      </c>
      <c r="P27" s="126"/>
      <c r="Q27" s="416"/>
      <c r="R27" s="415"/>
      <c r="S27" s="416"/>
      <c r="T27" s="415"/>
      <c r="U27" s="416"/>
      <c r="V27" s="415"/>
      <c r="W27" s="118"/>
      <c r="X27" s="118" t="s">
        <v>235</v>
      </c>
    </row>
    <row r="28" spans="1:24" ht="21.75" customHeight="1" thickBot="1">
      <c r="A28" s="118"/>
      <c r="B28" s="198">
        <f t="shared" si="2"/>
        <v>46320</v>
      </c>
      <c r="C28" s="197" t="str">
        <f t="shared" si="1"/>
        <v>S</v>
      </c>
      <c r="D28" s="199"/>
      <c r="E28" s="200"/>
      <c r="F28" s="201"/>
      <c r="G28" s="202"/>
      <c r="H28" s="201"/>
      <c r="I28" s="201"/>
      <c r="J28" s="201"/>
      <c r="K28" s="201"/>
      <c r="L28" s="203"/>
      <c r="M28" s="196" t="e">
        <f>1-(D22/M26)</f>
        <v>#DIV/0!</v>
      </c>
      <c r="N28" s="118"/>
      <c r="O28" s="421"/>
      <c r="P28" s="129"/>
      <c r="Q28" s="414"/>
      <c r="R28" s="415"/>
      <c r="S28" s="414"/>
      <c r="T28" s="415"/>
      <c r="U28" s="414"/>
      <c r="V28" s="415"/>
      <c r="W28" s="118"/>
      <c r="X28" s="118"/>
    </row>
    <row r="29" spans="1:24" ht="18.75" thickBot="1">
      <c r="A29" s="118"/>
      <c r="B29" s="204"/>
      <c r="C29" s="205"/>
      <c r="D29" s="204"/>
      <c r="E29" s="206"/>
      <c r="F29" s="206"/>
      <c r="G29" s="206"/>
      <c r="H29" s="206"/>
      <c r="I29" s="206"/>
      <c r="J29" s="206"/>
      <c r="K29" s="206"/>
      <c r="L29" s="206"/>
      <c r="M29" s="207"/>
      <c r="N29" s="86"/>
      <c r="O29" s="128" t="s">
        <v>37</v>
      </c>
      <c r="P29" s="86"/>
      <c r="Q29" s="86"/>
      <c r="R29" s="86"/>
      <c r="S29" s="86"/>
      <c r="T29" s="86"/>
      <c r="U29" s="86"/>
      <c r="V29" s="86"/>
      <c r="W29" s="118"/>
      <c r="X29" s="118"/>
    </row>
    <row r="30" spans="1:24" ht="16.5" thickBot="1">
      <c r="A30" s="118"/>
      <c r="B30" s="396" t="s">
        <v>14</v>
      </c>
      <c r="C30" s="409"/>
      <c r="D30" s="409"/>
      <c r="E30" s="409"/>
      <c r="F30" s="409"/>
      <c r="G30" s="409"/>
      <c r="H30" s="409"/>
      <c r="I30" s="409"/>
      <c r="J30" s="409"/>
      <c r="K30" s="409"/>
      <c r="L30" s="410"/>
      <c r="M30" s="208" t="s">
        <v>38</v>
      </c>
      <c r="N30" s="136"/>
      <c r="O30" s="132" t="s">
        <v>240</v>
      </c>
      <c r="P30" s="86"/>
      <c r="Q30" s="86"/>
      <c r="R30" s="86"/>
      <c r="S30" s="86"/>
      <c r="T30" s="86"/>
      <c r="U30" s="86"/>
      <c r="V30" s="124"/>
      <c r="W30" s="118"/>
      <c r="X30" s="118"/>
    </row>
    <row r="31" spans="1:24" ht="17.25" customHeight="1" thickBot="1">
      <c r="A31" s="118"/>
      <c r="B31" s="411"/>
      <c r="C31" s="412"/>
      <c r="D31" s="412"/>
      <c r="E31" s="412"/>
      <c r="F31" s="412"/>
      <c r="G31" s="412"/>
      <c r="H31" s="412"/>
      <c r="I31" s="412"/>
      <c r="J31" s="412"/>
      <c r="K31" s="412"/>
      <c r="L31" s="413"/>
      <c r="M31" s="209" t="s">
        <v>42</v>
      </c>
      <c r="N31" s="137"/>
      <c r="P31" s="126"/>
      <c r="Q31" s="126"/>
      <c r="R31" s="126"/>
      <c r="S31" s="126"/>
      <c r="T31" s="126"/>
      <c r="U31" s="126"/>
      <c r="V31" s="126"/>
      <c r="W31" s="118"/>
      <c r="X31" s="118"/>
    </row>
    <row r="32" spans="1:24" ht="22.5" customHeight="1">
      <c r="A32" s="118"/>
      <c r="B32" s="172">
        <f>B28+1</f>
        <v>46321</v>
      </c>
      <c r="C32" s="173" t="str">
        <f t="shared" ref="C32:C38" si="3">LEFT(TEXT(B32,"dddd"))</f>
        <v>M</v>
      </c>
      <c r="D32" s="174"/>
      <c r="E32" s="210"/>
      <c r="F32" s="176"/>
      <c r="G32" s="177"/>
      <c r="H32" s="176"/>
      <c r="I32" s="176"/>
      <c r="J32" s="176"/>
      <c r="K32" s="176"/>
      <c r="L32" s="178"/>
      <c r="M32" s="179">
        <f>IFERROR(AVERAGEIF(I32:I38,"&gt;"&amp;0,I32:I38),0)</f>
        <v>0</v>
      </c>
      <c r="N32" s="137"/>
      <c r="P32" s="126"/>
      <c r="Q32" s="416"/>
      <c r="R32" s="415"/>
      <c r="S32" s="416"/>
      <c r="T32" s="415"/>
      <c r="U32" s="416"/>
      <c r="V32" s="415"/>
      <c r="W32" s="118"/>
      <c r="X32" s="118"/>
    </row>
    <row r="33" spans="1:24" ht="21.75" customHeight="1">
      <c r="A33" s="118"/>
      <c r="B33" s="180">
        <f t="shared" ref="B33:B38" si="4">B32+1</f>
        <v>46322</v>
      </c>
      <c r="C33" s="181" t="str">
        <f t="shared" si="3"/>
        <v>T</v>
      </c>
      <c r="D33" s="182"/>
      <c r="E33" s="183"/>
      <c r="F33" s="184"/>
      <c r="G33" s="177"/>
      <c r="H33" s="184"/>
      <c r="I33" s="176"/>
      <c r="J33" s="184"/>
      <c r="K33" s="176"/>
      <c r="L33" s="185"/>
      <c r="M33" s="209" t="s">
        <v>43</v>
      </c>
      <c r="N33" s="118"/>
      <c r="P33" s="129"/>
      <c r="Q33" s="414"/>
      <c r="R33" s="415"/>
      <c r="S33" s="414"/>
      <c r="T33" s="415"/>
      <c r="U33" s="414"/>
      <c r="V33" s="415"/>
      <c r="W33" s="118"/>
      <c r="X33" s="118"/>
    </row>
    <row r="34" spans="1:24" ht="21.75" customHeight="1">
      <c r="A34" s="118"/>
      <c r="B34" s="180">
        <f t="shared" si="4"/>
        <v>46323</v>
      </c>
      <c r="C34" s="181" t="str">
        <f t="shared" si="3"/>
        <v>W</v>
      </c>
      <c r="D34" s="182"/>
      <c r="E34" s="183"/>
      <c r="F34" s="184"/>
      <c r="G34" s="177"/>
      <c r="H34" s="184"/>
      <c r="I34" s="176"/>
      <c r="J34" s="184"/>
      <c r="K34" s="176"/>
      <c r="L34" s="185"/>
      <c r="M34" s="186">
        <f>IFERROR(AVERAGEIF(G32:G38,"&gt;"&amp;0,G32:G38),0)</f>
        <v>0</v>
      </c>
      <c r="N34" s="118"/>
      <c r="P34" s="129"/>
      <c r="Q34" s="414"/>
      <c r="R34" s="415"/>
      <c r="S34" s="414"/>
      <c r="T34" s="415"/>
      <c r="U34" s="414"/>
      <c r="V34" s="415"/>
      <c r="W34" s="118"/>
      <c r="X34" s="118"/>
    </row>
    <row r="35" spans="1:24" ht="21.75" customHeight="1">
      <c r="A35" s="118"/>
      <c r="B35" s="180">
        <f t="shared" si="4"/>
        <v>46324</v>
      </c>
      <c r="C35" s="181" t="str">
        <f t="shared" si="3"/>
        <v>T</v>
      </c>
      <c r="D35" s="182"/>
      <c r="E35" s="183"/>
      <c r="F35" s="184"/>
      <c r="G35" s="177"/>
      <c r="H35" s="184"/>
      <c r="I35" s="176"/>
      <c r="J35" s="184"/>
      <c r="K35" s="176"/>
      <c r="L35" s="185"/>
      <c r="M35" s="209" t="s">
        <v>40</v>
      </c>
      <c r="N35" s="118"/>
      <c r="O35" s="138"/>
      <c r="P35" s="129"/>
      <c r="Q35" s="414"/>
      <c r="R35" s="415"/>
      <c r="S35" s="414"/>
      <c r="T35" s="415"/>
      <c r="U35" s="414"/>
      <c r="V35" s="415"/>
      <c r="W35" s="118"/>
      <c r="X35" s="118"/>
    </row>
    <row r="36" spans="1:24" ht="21.75" customHeight="1">
      <c r="A36" s="118"/>
      <c r="B36" s="180">
        <f t="shared" si="4"/>
        <v>46325</v>
      </c>
      <c r="C36" s="181" t="str">
        <f t="shared" si="3"/>
        <v>F</v>
      </c>
      <c r="D36" s="182"/>
      <c r="E36" s="183"/>
      <c r="F36" s="184"/>
      <c r="G36" s="177"/>
      <c r="H36" s="184"/>
      <c r="I36" s="176"/>
      <c r="J36" s="184"/>
      <c r="K36" s="176"/>
      <c r="L36" s="185"/>
      <c r="M36" s="187">
        <f>IFERROR(AVERAGEIF(D32:D38,"&gt;"&amp;0,D32:D38),0)</f>
        <v>0</v>
      </c>
      <c r="N36" s="118"/>
      <c r="O36" s="86"/>
      <c r="P36" s="129"/>
      <c r="Q36" s="414"/>
      <c r="R36" s="415"/>
      <c r="S36" s="414"/>
      <c r="T36" s="415"/>
      <c r="U36" s="414"/>
      <c r="V36" s="415"/>
      <c r="W36" s="118"/>
      <c r="X36" s="118"/>
    </row>
    <row r="37" spans="1:24" ht="29.25" customHeight="1">
      <c r="A37" s="118"/>
      <c r="B37" s="180">
        <f t="shared" si="4"/>
        <v>46326</v>
      </c>
      <c r="C37" s="181" t="str">
        <f t="shared" si="3"/>
        <v>S</v>
      </c>
      <c r="D37" s="182"/>
      <c r="E37" s="183"/>
      <c r="F37" s="184"/>
      <c r="G37" s="177"/>
      <c r="H37" s="184"/>
      <c r="I37" s="176"/>
      <c r="J37" s="184"/>
      <c r="K37" s="176"/>
      <c r="L37" s="211"/>
      <c r="M37" s="209" t="s">
        <v>41</v>
      </c>
      <c r="N37" s="118"/>
      <c r="O37" s="86"/>
      <c r="P37" s="126"/>
      <c r="Q37" s="416"/>
      <c r="R37" s="415"/>
      <c r="S37" s="416"/>
      <c r="T37" s="415"/>
      <c r="U37" s="416"/>
      <c r="V37" s="415"/>
      <c r="W37" s="118"/>
      <c r="X37" s="118"/>
    </row>
    <row r="38" spans="1:24" ht="21.75" customHeight="1" thickBot="1">
      <c r="A38" s="118"/>
      <c r="B38" s="198">
        <f t="shared" si="4"/>
        <v>46327</v>
      </c>
      <c r="C38" s="197" t="str">
        <f t="shared" si="3"/>
        <v>S</v>
      </c>
      <c r="D38" s="199"/>
      <c r="E38" s="200"/>
      <c r="F38" s="201"/>
      <c r="G38" s="202"/>
      <c r="H38" s="201"/>
      <c r="I38" s="201"/>
      <c r="J38" s="201"/>
      <c r="K38" s="201"/>
      <c r="L38" s="203"/>
      <c r="M38" s="196" t="e">
        <f>1-(M26/M36)</f>
        <v>#DIV/0!</v>
      </c>
      <c r="N38" s="118"/>
      <c r="O38" s="86"/>
      <c r="P38" s="129"/>
      <c r="Q38" s="414"/>
      <c r="R38" s="415"/>
      <c r="S38" s="414"/>
      <c r="T38" s="415"/>
      <c r="U38" s="414"/>
      <c r="V38" s="415"/>
      <c r="W38" s="118"/>
      <c r="X38" s="118"/>
    </row>
    <row r="39" spans="1:24" ht="15.75" customHeight="1" thickBot="1">
      <c r="A39" s="118"/>
      <c r="B39" s="204"/>
      <c r="C39" s="205"/>
      <c r="D39" s="204"/>
      <c r="E39" s="206"/>
      <c r="F39" s="206"/>
      <c r="G39" s="206"/>
      <c r="H39" s="206"/>
      <c r="I39" s="206"/>
      <c r="J39" s="206"/>
      <c r="K39" s="206"/>
      <c r="L39" s="205"/>
      <c r="M39" s="207"/>
      <c r="N39" s="86"/>
      <c r="O39" s="86"/>
      <c r="P39" s="86"/>
      <c r="Q39" s="86"/>
      <c r="R39" s="86"/>
      <c r="S39" s="86"/>
      <c r="T39" s="86"/>
      <c r="U39" s="86"/>
      <c r="V39" s="86"/>
      <c r="W39" s="118"/>
      <c r="X39" s="118"/>
    </row>
    <row r="40" spans="1:24" ht="15.75" customHeight="1" thickBot="1">
      <c r="A40" s="118"/>
      <c r="B40" s="396" t="s">
        <v>15</v>
      </c>
      <c r="C40" s="409"/>
      <c r="D40" s="409"/>
      <c r="E40" s="409"/>
      <c r="F40" s="409"/>
      <c r="G40" s="409"/>
      <c r="H40" s="409"/>
      <c r="I40" s="409"/>
      <c r="J40" s="409"/>
      <c r="K40" s="409"/>
      <c r="L40" s="410"/>
      <c r="M40" s="208" t="s">
        <v>38</v>
      </c>
      <c r="N40" s="86"/>
      <c r="O40" s="86"/>
      <c r="P40" s="86"/>
      <c r="Q40" s="86"/>
      <c r="R40" s="86"/>
      <c r="S40" s="86"/>
      <c r="T40" s="86"/>
      <c r="U40" s="86"/>
      <c r="V40" s="124"/>
      <c r="W40" s="118"/>
      <c r="X40" s="118"/>
    </row>
    <row r="41" spans="1:24" ht="31.5" customHeight="1" thickBot="1">
      <c r="A41" s="118"/>
      <c r="B41" s="411"/>
      <c r="C41" s="412"/>
      <c r="D41" s="412"/>
      <c r="E41" s="412"/>
      <c r="F41" s="412"/>
      <c r="G41" s="412"/>
      <c r="H41" s="412"/>
      <c r="I41" s="412"/>
      <c r="J41" s="412"/>
      <c r="K41" s="412"/>
      <c r="L41" s="413"/>
      <c r="M41" s="209" t="s">
        <v>42</v>
      </c>
      <c r="N41" s="118"/>
      <c r="O41" s="86"/>
      <c r="P41" s="126"/>
      <c r="Q41" s="126"/>
      <c r="R41" s="126"/>
      <c r="S41" s="126"/>
      <c r="T41" s="126"/>
      <c r="U41" s="126"/>
      <c r="V41" s="126"/>
      <c r="W41" s="118"/>
      <c r="X41" s="118"/>
    </row>
    <row r="42" spans="1:24" ht="21.75" customHeight="1" thickBot="1">
      <c r="A42" s="118"/>
      <c r="B42" s="172">
        <f>B38+1</f>
        <v>46328</v>
      </c>
      <c r="C42" s="173" t="str">
        <f t="shared" ref="C42:C48" si="5">LEFT(TEXT(B42,"dddd"))</f>
        <v>M</v>
      </c>
      <c r="D42" s="174"/>
      <c r="E42" s="210"/>
      <c r="F42" s="176"/>
      <c r="G42" s="177"/>
      <c r="H42" s="176"/>
      <c r="I42" s="212"/>
      <c r="J42" s="213"/>
      <c r="K42" s="176"/>
      <c r="L42" s="178"/>
      <c r="M42" s="214">
        <f>IFERROR(AVERAGEIF(I42:I48,"&gt;"&amp;0,I42:I48),0)</f>
        <v>0</v>
      </c>
      <c r="N42" s="118"/>
      <c r="O42" s="86"/>
      <c r="P42" s="126"/>
      <c r="Q42" s="416"/>
      <c r="R42" s="415"/>
      <c r="S42" s="416"/>
      <c r="T42" s="415"/>
      <c r="U42" s="416"/>
      <c r="V42" s="415"/>
      <c r="W42" s="118"/>
      <c r="X42" s="118"/>
    </row>
    <row r="43" spans="1:24" ht="21.75" customHeight="1">
      <c r="A43" s="118"/>
      <c r="B43" s="180">
        <f t="shared" ref="B43:B48" si="6">B42+1</f>
        <v>46329</v>
      </c>
      <c r="C43" s="181" t="str">
        <f t="shared" si="5"/>
        <v>T</v>
      </c>
      <c r="D43" s="182"/>
      <c r="E43" s="183"/>
      <c r="F43" s="184"/>
      <c r="G43" s="177"/>
      <c r="H43" s="184"/>
      <c r="I43" s="184"/>
      <c r="J43" s="215"/>
      <c r="K43" s="176"/>
      <c r="L43" s="185"/>
      <c r="M43" s="209" t="s">
        <v>39</v>
      </c>
      <c r="N43" s="118"/>
      <c r="O43" s="86"/>
      <c r="P43" s="129"/>
      <c r="Q43" s="414"/>
      <c r="R43" s="415"/>
      <c r="S43" s="414"/>
      <c r="T43" s="415"/>
      <c r="U43" s="414"/>
      <c r="V43" s="415"/>
      <c r="W43" s="118"/>
      <c r="X43" s="118"/>
    </row>
    <row r="44" spans="1:24" ht="21.75" customHeight="1" thickBot="1">
      <c r="A44" s="118"/>
      <c r="B44" s="180">
        <f t="shared" si="6"/>
        <v>46330</v>
      </c>
      <c r="C44" s="181" t="str">
        <f t="shared" si="5"/>
        <v>W</v>
      </c>
      <c r="D44" s="182"/>
      <c r="E44" s="183"/>
      <c r="F44" s="184"/>
      <c r="G44" s="177"/>
      <c r="H44" s="184"/>
      <c r="I44" s="184"/>
      <c r="J44" s="215"/>
      <c r="K44" s="176"/>
      <c r="L44" s="185"/>
      <c r="M44" s="216">
        <f>IFERROR(AVERAGEIF(G42:G48,"&gt;"&amp;0,G42:G48),0)</f>
        <v>0</v>
      </c>
      <c r="N44" s="118"/>
      <c r="O44" s="86"/>
      <c r="P44" s="129"/>
      <c r="Q44" s="414"/>
      <c r="R44" s="415"/>
      <c r="S44" s="414"/>
      <c r="T44" s="415"/>
      <c r="U44" s="414"/>
      <c r="V44" s="415"/>
      <c r="W44" s="118"/>
      <c r="X44" s="118"/>
    </row>
    <row r="45" spans="1:24" ht="21.75" customHeight="1">
      <c r="A45" s="118"/>
      <c r="B45" s="180">
        <f t="shared" si="6"/>
        <v>46331</v>
      </c>
      <c r="C45" s="181" t="str">
        <f t="shared" si="5"/>
        <v>T</v>
      </c>
      <c r="D45" s="182"/>
      <c r="E45" s="183"/>
      <c r="F45" s="184"/>
      <c r="G45" s="177"/>
      <c r="H45" s="184"/>
      <c r="I45" s="176"/>
      <c r="J45" s="215"/>
      <c r="K45" s="176"/>
      <c r="L45" s="185"/>
      <c r="M45" s="209" t="s">
        <v>40</v>
      </c>
      <c r="N45" s="118"/>
      <c r="O45" s="86"/>
      <c r="P45" s="129"/>
      <c r="Q45" s="414"/>
      <c r="R45" s="415"/>
      <c r="S45" s="414"/>
      <c r="T45" s="415"/>
      <c r="U45" s="414"/>
      <c r="V45" s="415"/>
      <c r="W45" s="118"/>
      <c r="X45" s="118"/>
    </row>
    <row r="46" spans="1:24" ht="21.75" customHeight="1" thickBot="1">
      <c r="A46" s="118"/>
      <c r="B46" s="180">
        <f t="shared" si="6"/>
        <v>46332</v>
      </c>
      <c r="C46" s="181" t="str">
        <f t="shared" si="5"/>
        <v>F</v>
      </c>
      <c r="D46" s="182"/>
      <c r="E46" s="183"/>
      <c r="F46" s="184"/>
      <c r="G46" s="177"/>
      <c r="H46" s="184"/>
      <c r="I46" s="212"/>
      <c r="J46" s="215"/>
      <c r="K46" s="176"/>
      <c r="L46" s="185"/>
      <c r="M46" s="217">
        <f>IFERROR(AVERAGEIF(D42:D48,"&gt;"&amp;0,D42:D48),0)</f>
        <v>0</v>
      </c>
      <c r="N46" s="118"/>
      <c r="O46" s="126"/>
      <c r="P46" s="129"/>
      <c r="Q46" s="414"/>
      <c r="R46" s="415"/>
      <c r="S46" s="414"/>
      <c r="T46" s="415"/>
      <c r="U46" s="414"/>
      <c r="V46" s="415"/>
      <c r="W46" s="118"/>
      <c r="X46" s="118"/>
    </row>
    <row r="47" spans="1:24" ht="27.75" customHeight="1">
      <c r="A47" s="118"/>
      <c r="B47" s="180">
        <f t="shared" si="6"/>
        <v>46333</v>
      </c>
      <c r="C47" s="181" t="str">
        <f t="shared" si="5"/>
        <v>S</v>
      </c>
      <c r="D47" s="182"/>
      <c r="E47" s="183"/>
      <c r="F47" s="184"/>
      <c r="G47" s="177"/>
      <c r="H47" s="184"/>
      <c r="I47" s="184"/>
      <c r="J47" s="215"/>
      <c r="K47" s="176"/>
      <c r="L47" s="211"/>
      <c r="M47" s="209" t="s">
        <v>41</v>
      </c>
      <c r="N47" s="118"/>
      <c r="O47" s="129"/>
      <c r="P47" s="126"/>
      <c r="Q47" s="416"/>
      <c r="R47" s="415"/>
      <c r="S47" s="416"/>
      <c r="T47" s="415"/>
      <c r="U47" s="416"/>
      <c r="V47" s="415"/>
      <c r="W47" s="118"/>
      <c r="X47" s="118"/>
    </row>
    <row r="48" spans="1:24" ht="21.75" customHeight="1" thickBot="1">
      <c r="A48" s="118"/>
      <c r="B48" s="198">
        <f t="shared" si="6"/>
        <v>46334</v>
      </c>
      <c r="C48" s="197" t="str">
        <f t="shared" si="5"/>
        <v>S</v>
      </c>
      <c r="D48" s="199"/>
      <c r="E48" s="200"/>
      <c r="F48" s="201"/>
      <c r="G48" s="202"/>
      <c r="H48" s="201"/>
      <c r="I48" s="201"/>
      <c r="J48" s="218"/>
      <c r="K48" s="201"/>
      <c r="L48" s="203"/>
      <c r="M48" s="196" t="e">
        <f>1-(M36/M46)</f>
        <v>#DIV/0!</v>
      </c>
      <c r="N48" s="118"/>
      <c r="O48" s="129"/>
      <c r="P48" s="129"/>
      <c r="Q48" s="414"/>
      <c r="R48" s="415"/>
      <c r="S48" s="414"/>
      <c r="T48" s="415"/>
      <c r="U48" s="414"/>
      <c r="V48" s="415"/>
      <c r="W48" s="118"/>
      <c r="X48" s="118"/>
    </row>
    <row r="49" spans="1:24" ht="15.75" customHeight="1" thickBot="1">
      <c r="A49" s="118"/>
      <c r="B49" s="204"/>
      <c r="C49" s="205"/>
      <c r="D49" s="204"/>
      <c r="E49" s="206"/>
      <c r="F49" s="206"/>
      <c r="G49" s="206"/>
      <c r="H49" s="219"/>
      <c r="I49" s="219"/>
      <c r="J49" s="206"/>
      <c r="K49" s="206"/>
      <c r="L49" s="205"/>
      <c r="M49" s="207"/>
      <c r="N49" s="86"/>
      <c r="O49" s="129"/>
      <c r="P49" s="86"/>
      <c r="Q49" s="86"/>
      <c r="R49" s="86"/>
      <c r="S49" s="86"/>
      <c r="T49" s="86"/>
      <c r="U49" s="86"/>
      <c r="V49" s="86"/>
      <c r="W49" s="118"/>
      <c r="X49" s="118"/>
    </row>
    <row r="50" spans="1:24" ht="15.75" customHeight="1" thickBot="1">
      <c r="A50" s="118"/>
      <c r="B50" s="396" t="s">
        <v>16</v>
      </c>
      <c r="C50" s="409"/>
      <c r="D50" s="409"/>
      <c r="E50" s="409"/>
      <c r="F50" s="409"/>
      <c r="G50" s="409"/>
      <c r="H50" s="409"/>
      <c r="I50" s="409"/>
      <c r="J50" s="409"/>
      <c r="K50" s="409"/>
      <c r="L50" s="410"/>
      <c r="M50" s="208" t="s">
        <v>38</v>
      </c>
      <c r="N50" s="86"/>
      <c r="O50" s="129"/>
      <c r="P50" s="86"/>
      <c r="Q50" s="86"/>
      <c r="R50" s="86"/>
      <c r="S50" s="86"/>
      <c r="T50" s="86"/>
      <c r="U50" s="86"/>
      <c r="V50" s="86"/>
      <c r="W50" s="118"/>
      <c r="X50" s="118"/>
    </row>
    <row r="51" spans="1:24" ht="21.75" customHeight="1" thickBot="1">
      <c r="A51" s="118"/>
      <c r="B51" s="411"/>
      <c r="C51" s="412"/>
      <c r="D51" s="412"/>
      <c r="E51" s="412"/>
      <c r="F51" s="412"/>
      <c r="G51" s="412"/>
      <c r="H51" s="412"/>
      <c r="I51" s="412"/>
      <c r="J51" s="412"/>
      <c r="K51" s="412"/>
      <c r="L51" s="413"/>
      <c r="M51" s="209" t="s">
        <v>42</v>
      </c>
      <c r="N51" s="118"/>
      <c r="O51" s="129"/>
      <c r="P51" s="126"/>
      <c r="Q51" s="126"/>
      <c r="R51" s="126"/>
      <c r="S51" s="126"/>
      <c r="T51" s="126"/>
      <c r="U51" s="126"/>
      <c r="V51" s="126"/>
      <c r="W51" s="118"/>
      <c r="X51" s="118"/>
    </row>
    <row r="52" spans="1:24" ht="21.75" customHeight="1" thickBot="1">
      <c r="A52" s="118"/>
      <c r="B52" s="172">
        <f>B48+1</f>
        <v>46335</v>
      </c>
      <c r="C52" s="173" t="str">
        <f t="shared" ref="C52:C58" si="7">LEFT(TEXT(B52,"dddd"))</f>
        <v>M</v>
      </c>
      <c r="D52" s="174"/>
      <c r="E52" s="210"/>
      <c r="F52" s="176"/>
      <c r="G52" s="177"/>
      <c r="H52" s="176"/>
      <c r="I52" s="176"/>
      <c r="J52" s="176"/>
      <c r="K52" s="176"/>
      <c r="L52" s="178"/>
      <c r="M52" s="214">
        <f>IFERROR(AVERAGEIF(I52:I58,"&gt;"&amp;0,I52:I58),0)</f>
        <v>0</v>
      </c>
      <c r="N52" s="118"/>
      <c r="O52" s="129"/>
      <c r="P52" s="126"/>
      <c r="Q52" s="416"/>
      <c r="R52" s="415"/>
      <c r="S52" s="416"/>
      <c r="T52" s="415"/>
      <c r="U52" s="416"/>
      <c r="V52" s="415"/>
      <c r="W52" s="118"/>
      <c r="X52" s="118"/>
    </row>
    <row r="53" spans="1:24" ht="21.75" customHeight="1">
      <c r="A53" s="118"/>
      <c r="B53" s="180">
        <f t="shared" ref="B53:B58" si="8">B52+1</f>
        <v>46336</v>
      </c>
      <c r="C53" s="181" t="str">
        <f t="shared" si="7"/>
        <v>T</v>
      </c>
      <c r="D53" s="182"/>
      <c r="E53" s="183"/>
      <c r="F53" s="184"/>
      <c r="G53" s="177"/>
      <c r="H53" s="184"/>
      <c r="I53" s="176"/>
      <c r="J53" s="184"/>
      <c r="K53" s="176"/>
      <c r="L53" s="185"/>
      <c r="M53" s="209" t="s">
        <v>39</v>
      </c>
      <c r="N53" s="118"/>
      <c r="O53" s="118"/>
      <c r="P53" s="129"/>
      <c r="Q53" s="414"/>
      <c r="R53" s="415"/>
      <c r="S53" s="414"/>
      <c r="T53" s="415"/>
      <c r="U53" s="414"/>
      <c r="V53" s="415"/>
      <c r="W53" s="118"/>
      <c r="X53" s="118"/>
    </row>
    <row r="54" spans="1:24" ht="29.25" customHeight="1" thickBot="1">
      <c r="A54" s="118"/>
      <c r="B54" s="180">
        <f t="shared" si="8"/>
        <v>46337</v>
      </c>
      <c r="C54" s="181" t="str">
        <f t="shared" si="7"/>
        <v>W</v>
      </c>
      <c r="D54" s="182"/>
      <c r="E54" s="183"/>
      <c r="F54" s="184"/>
      <c r="G54" s="177"/>
      <c r="H54" s="184"/>
      <c r="I54" s="176"/>
      <c r="J54" s="184"/>
      <c r="K54" s="176"/>
      <c r="L54" s="185"/>
      <c r="M54" s="216">
        <f>IFERROR(AVERAGEIF(G52:G58,"&gt;"&amp;0,G52:G58),0)</f>
        <v>0</v>
      </c>
      <c r="N54" s="118"/>
      <c r="O54" s="118"/>
      <c r="P54" s="129"/>
      <c r="Q54" s="414"/>
      <c r="R54" s="415"/>
      <c r="S54" s="414"/>
      <c r="T54" s="415"/>
      <c r="U54" s="414"/>
      <c r="V54" s="415"/>
      <c r="W54" s="118"/>
      <c r="X54" s="118"/>
    </row>
    <row r="55" spans="1:24" ht="28.5" customHeight="1">
      <c r="A55" s="118"/>
      <c r="B55" s="180">
        <f t="shared" si="8"/>
        <v>46338</v>
      </c>
      <c r="C55" s="181" t="str">
        <f t="shared" si="7"/>
        <v>T</v>
      </c>
      <c r="D55" s="182"/>
      <c r="E55" s="183"/>
      <c r="F55" s="184"/>
      <c r="G55" s="177"/>
      <c r="H55" s="184"/>
      <c r="I55" s="176"/>
      <c r="J55" s="184"/>
      <c r="K55" s="176"/>
      <c r="L55" s="185"/>
      <c r="M55" s="209" t="s">
        <v>40</v>
      </c>
      <c r="N55" s="118"/>
      <c r="O55" s="86"/>
      <c r="P55" s="129"/>
      <c r="Q55" s="414"/>
      <c r="R55" s="415"/>
      <c r="S55" s="414"/>
      <c r="T55" s="415"/>
      <c r="U55" s="414"/>
      <c r="V55" s="415"/>
      <c r="W55" s="118"/>
      <c r="X55" s="118"/>
    </row>
    <row r="56" spans="1:24" ht="21.75" customHeight="1" thickBot="1">
      <c r="A56" s="118"/>
      <c r="B56" s="180">
        <f t="shared" si="8"/>
        <v>46339</v>
      </c>
      <c r="C56" s="181" t="str">
        <f t="shared" si="7"/>
        <v>F</v>
      </c>
      <c r="D56" s="182"/>
      <c r="E56" s="183"/>
      <c r="F56" s="184"/>
      <c r="G56" s="177"/>
      <c r="H56" s="184"/>
      <c r="I56" s="176"/>
      <c r="J56" s="184"/>
      <c r="K56" s="176"/>
      <c r="L56" s="185"/>
      <c r="M56" s="217">
        <f>IFERROR(AVERAGEIF(D52:D58,"&gt;"&amp;0,D52:D58),0)</f>
        <v>0</v>
      </c>
      <c r="N56" s="118"/>
      <c r="O56" s="126"/>
      <c r="P56" s="129"/>
      <c r="Q56" s="414"/>
      <c r="R56" s="415"/>
      <c r="S56" s="414"/>
      <c r="T56" s="415"/>
      <c r="U56" s="414"/>
      <c r="V56" s="415"/>
      <c r="W56" s="118"/>
      <c r="X56" s="118"/>
    </row>
    <row r="57" spans="1:24" ht="21.75" customHeight="1">
      <c r="A57" s="118"/>
      <c r="B57" s="180">
        <f t="shared" si="8"/>
        <v>46340</v>
      </c>
      <c r="C57" s="181" t="str">
        <f t="shared" si="7"/>
        <v>S</v>
      </c>
      <c r="D57" s="182"/>
      <c r="E57" s="183"/>
      <c r="F57" s="184"/>
      <c r="G57" s="177"/>
      <c r="H57" s="184"/>
      <c r="I57" s="176"/>
      <c r="J57" s="184"/>
      <c r="K57" s="176"/>
      <c r="L57" s="211"/>
      <c r="M57" s="209" t="s">
        <v>41</v>
      </c>
      <c r="N57" s="118"/>
      <c r="O57" s="129"/>
      <c r="P57" s="126"/>
      <c r="Q57" s="416"/>
      <c r="R57" s="415"/>
      <c r="S57" s="416"/>
      <c r="T57" s="415"/>
      <c r="U57" s="416"/>
      <c r="V57" s="415"/>
      <c r="W57" s="118"/>
      <c r="X57" s="118"/>
    </row>
    <row r="58" spans="1:24" ht="21.75" customHeight="1" thickBot="1">
      <c r="A58" s="118"/>
      <c r="B58" s="198">
        <f t="shared" si="8"/>
        <v>46341</v>
      </c>
      <c r="C58" s="197" t="str">
        <f t="shared" si="7"/>
        <v>S</v>
      </c>
      <c r="D58" s="199"/>
      <c r="E58" s="200"/>
      <c r="F58" s="201"/>
      <c r="G58" s="202"/>
      <c r="H58" s="201"/>
      <c r="I58" s="201"/>
      <c r="J58" s="201"/>
      <c r="K58" s="201"/>
      <c r="L58" s="203"/>
      <c r="M58" s="196" t="e">
        <f>1-(M46/M56)</f>
        <v>#DIV/0!</v>
      </c>
      <c r="N58" s="118"/>
      <c r="O58" s="129"/>
      <c r="P58" s="129"/>
      <c r="Q58" s="414"/>
      <c r="R58" s="415"/>
      <c r="S58" s="414"/>
      <c r="T58" s="415"/>
      <c r="U58" s="414"/>
      <c r="V58" s="415"/>
      <c r="W58" s="118"/>
      <c r="X58" s="118"/>
    </row>
    <row r="59" spans="1:24" ht="15.75" customHeight="1" thickBot="1">
      <c r="A59" s="118"/>
      <c r="B59" s="204"/>
      <c r="C59" s="205"/>
      <c r="D59" s="204"/>
      <c r="E59" s="206"/>
      <c r="F59" s="206"/>
      <c r="G59" s="206"/>
      <c r="H59" s="206"/>
      <c r="I59" s="206"/>
      <c r="J59" s="206"/>
      <c r="K59" s="206"/>
      <c r="L59" s="205"/>
      <c r="M59" s="207"/>
      <c r="N59" s="86"/>
      <c r="O59" s="129"/>
      <c r="P59" s="86"/>
      <c r="Q59" s="86"/>
      <c r="R59" s="86"/>
      <c r="S59" s="86"/>
      <c r="T59" s="86"/>
      <c r="U59" s="86"/>
      <c r="V59" s="86"/>
      <c r="W59" s="118"/>
      <c r="X59" s="118"/>
    </row>
    <row r="60" spans="1:24" ht="15.75" customHeight="1" thickBot="1">
      <c r="A60" s="118"/>
      <c r="B60" s="396" t="s">
        <v>17</v>
      </c>
      <c r="C60" s="409"/>
      <c r="D60" s="409"/>
      <c r="E60" s="409"/>
      <c r="F60" s="409"/>
      <c r="G60" s="409"/>
      <c r="H60" s="409"/>
      <c r="I60" s="409"/>
      <c r="J60" s="409"/>
      <c r="K60" s="409"/>
      <c r="L60" s="410"/>
      <c r="M60" s="208" t="s">
        <v>38</v>
      </c>
      <c r="N60" s="86"/>
      <c r="O60" s="129"/>
      <c r="P60" s="86"/>
      <c r="Q60" s="86"/>
      <c r="R60" s="86"/>
      <c r="S60" s="86"/>
      <c r="T60" s="86"/>
      <c r="U60" s="86"/>
      <c r="V60" s="124"/>
      <c r="W60" s="118"/>
      <c r="X60" s="118"/>
    </row>
    <row r="61" spans="1:24" ht="21.75" customHeight="1" thickBot="1">
      <c r="A61" s="118"/>
      <c r="B61" s="411"/>
      <c r="C61" s="412"/>
      <c r="D61" s="412"/>
      <c r="E61" s="412"/>
      <c r="F61" s="412"/>
      <c r="G61" s="412"/>
      <c r="H61" s="412"/>
      <c r="I61" s="412"/>
      <c r="J61" s="412"/>
      <c r="K61" s="412"/>
      <c r="L61" s="413"/>
      <c r="M61" s="209" t="s">
        <v>42</v>
      </c>
      <c r="N61" s="118"/>
      <c r="O61" s="129"/>
      <c r="P61" s="126"/>
      <c r="Q61" s="126"/>
      <c r="R61" s="126"/>
      <c r="S61" s="126"/>
      <c r="T61" s="126"/>
      <c r="U61" s="126"/>
      <c r="V61" s="126"/>
      <c r="W61" s="118"/>
      <c r="X61" s="118"/>
    </row>
    <row r="62" spans="1:24" ht="21.75" customHeight="1" thickBot="1">
      <c r="A62" s="118"/>
      <c r="B62" s="172">
        <f>B58+1</f>
        <v>46342</v>
      </c>
      <c r="C62" s="173" t="str">
        <f t="shared" ref="C62:C68" si="9">LEFT(TEXT(B62,"dddd"))</f>
        <v>M</v>
      </c>
      <c r="D62" s="174"/>
      <c r="E62" s="210"/>
      <c r="F62" s="176"/>
      <c r="G62" s="177"/>
      <c r="H62" s="220"/>
      <c r="I62" s="220"/>
      <c r="J62" s="213"/>
      <c r="K62" s="176"/>
      <c r="L62" s="178"/>
      <c r="M62" s="179">
        <f>IFERROR(AVERAGEIF(I62:I68,"&gt;"&amp;0,I62:I68),0)</f>
        <v>0</v>
      </c>
      <c r="N62" s="118"/>
      <c r="O62" s="129"/>
      <c r="P62" s="126"/>
      <c r="Q62" s="416"/>
      <c r="R62" s="415"/>
      <c r="S62" s="416"/>
      <c r="T62" s="415"/>
      <c r="U62" s="416"/>
      <c r="V62" s="415"/>
      <c r="W62" s="118"/>
      <c r="X62" s="118"/>
    </row>
    <row r="63" spans="1:24" ht="21.75" customHeight="1">
      <c r="A63" s="118"/>
      <c r="B63" s="180">
        <f t="shared" ref="B63:B68" si="10">B62+1</f>
        <v>46343</v>
      </c>
      <c r="C63" s="181" t="str">
        <f t="shared" si="9"/>
        <v>T</v>
      </c>
      <c r="D63" s="182"/>
      <c r="E63" s="183"/>
      <c r="F63" s="184"/>
      <c r="G63" s="177"/>
      <c r="H63" s="184"/>
      <c r="I63" s="184"/>
      <c r="J63" s="215"/>
      <c r="K63" s="176"/>
      <c r="L63" s="185"/>
      <c r="M63" s="171" t="s">
        <v>39</v>
      </c>
      <c r="N63" s="118"/>
      <c r="O63" s="118"/>
      <c r="P63" s="129"/>
      <c r="Q63" s="414"/>
      <c r="R63" s="415"/>
      <c r="S63" s="414"/>
      <c r="T63" s="415"/>
      <c r="U63" s="414"/>
      <c r="V63" s="415"/>
      <c r="W63" s="118"/>
      <c r="X63" s="118"/>
    </row>
    <row r="64" spans="1:24" ht="21.75" customHeight="1" thickBot="1">
      <c r="A64" s="118"/>
      <c r="B64" s="180">
        <f t="shared" si="10"/>
        <v>46344</v>
      </c>
      <c r="C64" s="181" t="str">
        <f t="shared" si="9"/>
        <v>W</v>
      </c>
      <c r="D64" s="182"/>
      <c r="E64" s="183"/>
      <c r="F64" s="184"/>
      <c r="G64" s="177"/>
      <c r="H64" s="184"/>
      <c r="I64" s="184"/>
      <c r="J64" s="215"/>
      <c r="K64" s="176"/>
      <c r="L64" s="185"/>
      <c r="M64" s="186">
        <f>IFERROR(AVERAGEIF(G62:G68,"&gt;"&amp;0,G62:G68),0)</f>
        <v>0</v>
      </c>
      <c r="N64" s="118"/>
      <c r="O64" s="118"/>
      <c r="P64" s="129"/>
      <c r="Q64" s="414"/>
      <c r="R64" s="415"/>
      <c r="S64" s="414"/>
      <c r="T64" s="415"/>
      <c r="U64" s="414"/>
      <c r="V64" s="415"/>
      <c r="W64" s="118"/>
      <c r="X64" s="118"/>
    </row>
    <row r="65" spans="1:24" ht="27" customHeight="1">
      <c r="A65" s="118"/>
      <c r="B65" s="180">
        <f t="shared" si="10"/>
        <v>46345</v>
      </c>
      <c r="C65" s="181" t="str">
        <f t="shared" si="9"/>
        <v>T</v>
      </c>
      <c r="D65" s="182"/>
      <c r="E65" s="183"/>
      <c r="F65" s="184"/>
      <c r="G65" s="177"/>
      <c r="H65" s="184"/>
      <c r="I65" s="184"/>
      <c r="J65" s="215"/>
      <c r="K65" s="176"/>
      <c r="L65" s="185"/>
      <c r="M65" s="171" t="s">
        <v>40</v>
      </c>
      <c r="N65" s="139"/>
      <c r="O65" s="86"/>
      <c r="P65" s="129"/>
      <c r="Q65" s="414"/>
      <c r="R65" s="415"/>
      <c r="S65" s="414"/>
      <c r="T65" s="415"/>
      <c r="U65" s="414"/>
      <c r="V65" s="415"/>
      <c r="W65" s="118"/>
      <c r="X65" s="118"/>
    </row>
    <row r="66" spans="1:24" ht="21.75" customHeight="1" thickBot="1">
      <c r="A66" s="118"/>
      <c r="B66" s="180">
        <f t="shared" si="10"/>
        <v>46346</v>
      </c>
      <c r="C66" s="181" t="str">
        <f t="shared" si="9"/>
        <v>F</v>
      </c>
      <c r="D66" s="182"/>
      <c r="E66" s="183"/>
      <c r="F66" s="184"/>
      <c r="G66" s="177"/>
      <c r="H66" s="184"/>
      <c r="I66" s="184"/>
      <c r="J66" s="215"/>
      <c r="K66" s="176"/>
      <c r="L66" s="185"/>
      <c r="M66" s="187">
        <f>IFERROR(AVERAGEIF(D62:D68,"&gt;"&amp;0,D62:D68),0)</f>
        <v>0</v>
      </c>
      <c r="N66" s="118"/>
      <c r="O66" s="126"/>
      <c r="P66" s="129"/>
      <c r="Q66" s="414"/>
      <c r="R66" s="415"/>
      <c r="S66" s="414"/>
      <c r="T66" s="415"/>
      <c r="U66" s="414"/>
      <c r="V66" s="415"/>
      <c r="W66" s="118"/>
      <c r="X66" s="118"/>
    </row>
    <row r="67" spans="1:24" ht="21.75" customHeight="1">
      <c r="A67" s="118"/>
      <c r="B67" s="180">
        <f t="shared" si="10"/>
        <v>46347</v>
      </c>
      <c r="C67" s="181" t="str">
        <f t="shared" si="9"/>
        <v>S</v>
      </c>
      <c r="D67" s="182"/>
      <c r="E67" s="183"/>
      <c r="F67" s="184"/>
      <c r="G67" s="177"/>
      <c r="H67" s="184"/>
      <c r="I67" s="184"/>
      <c r="J67" s="215"/>
      <c r="K67" s="176"/>
      <c r="L67" s="211"/>
      <c r="M67" s="171" t="s">
        <v>41</v>
      </c>
      <c r="N67" s="118"/>
      <c r="O67" s="129"/>
      <c r="P67" s="126"/>
      <c r="Q67" s="416"/>
      <c r="R67" s="415"/>
      <c r="S67" s="416"/>
      <c r="T67" s="415"/>
      <c r="U67" s="416"/>
      <c r="V67" s="415"/>
      <c r="W67" s="118"/>
      <c r="X67" s="118"/>
    </row>
    <row r="68" spans="1:24" ht="21.75" customHeight="1" thickBot="1">
      <c r="A68" s="118"/>
      <c r="B68" s="198">
        <f t="shared" si="10"/>
        <v>46348</v>
      </c>
      <c r="C68" s="197" t="str">
        <f t="shared" si="9"/>
        <v>S</v>
      </c>
      <c r="D68" s="199"/>
      <c r="E68" s="200"/>
      <c r="F68" s="201"/>
      <c r="G68" s="202"/>
      <c r="H68" s="201"/>
      <c r="I68" s="201"/>
      <c r="J68" s="218"/>
      <c r="K68" s="201"/>
      <c r="L68" s="203"/>
      <c r="M68" s="196" t="e">
        <f>1-(M56/M66)</f>
        <v>#DIV/0!</v>
      </c>
      <c r="N68" s="118"/>
      <c r="O68" s="129"/>
      <c r="P68" s="129"/>
      <c r="Q68" s="414"/>
      <c r="R68" s="415"/>
      <c r="S68" s="414"/>
      <c r="T68" s="415"/>
      <c r="U68" s="414"/>
      <c r="V68" s="415"/>
      <c r="W68" s="118"/>
      <c r="X68" s="118"/>
    </row>
    <row r="69" spans="1:24" ht="15.75" customHeight="1" thickBot="1">
      <c r="A69" s="118"/>
      <c r="B69" s="204"/>
      <c r="C69" s="205"/>
      <c r="D69" s="204"/>
      <c r="E69" s="206"/>
      <c r="F69" s="206"/>
      <c r="G69" s="206"/>
      <c r="H69" s="219"/>
      <c r="I69" s="219"/>
      <c r="J69" s="206"/>
      <c r="K69" s="206"/>
      <c r="L69" s="205"/>
      <c r="M69" s="207"/>
      <c r="N69" s="86"/>
      <c r="O69" s="129"/>
      <c r="P69" s="86"/>
      <c r="Q69" s="86"/>
      <c r="R69" s="86"/>
      <c r="S69" s="86"/>
      <c r="T69" s="86"/>
      <c r="U69" s="86"/>
      <c r="V69" s="86"/>
      <c r="W69" s="118"/>
      <c r="X69" s="118"/>
    </row>
    <row r="70" spans="1:24" ht="15.75" customHeight="1" thickBot="1">
      <c r="A70" s="118"/>
      <c r="B70" s="396" t="s">
        <v>18</v>
      </c>
      <c r="C70" s="409"/>
      <c r="D70" s="409"/>
      <c r="E70" s="409"/>
      <c r="F70" s="409"/>
      <c r="G70" s="409"/>
      <c r="H70" s="409"/>
      <c r="I70" s="409"/>
      <c r="J70" s="409"/>
      <c r="K70" s="409"/>
      <c r="L70" s="410"/>
      <c r="M70" s="208" t="s">
        <v>38</v>
      </c>
      <c r="N70" s="86"/>
      <c r="O70" s="129"/>
      <c r="P70" s="86"/>
      <c r="Q70" s="86"/>
      <c r="R70" s="86"/>
      <c r="S70" s="86"/>
      <c r="T70" s="86"/>
      <c r="U70" s="86"/>
      <c r="V70" s="124"/>
      <c r="W70" s="118"/>
      <c r="X70" s="118"/>
    </row>
    <row r="71" spans="1:24" ht="21.75" customHeight="1" thickBot="1">
      <c r="A71" s="118"/>
      <c r="B71" s="411"/>
      <c r="C71" s="412"/>
      <c r="D71" s="412"/>
      <c r="E71" s="412"/>
      <c r="F71" s="412"/>
      <c r="G71" s="412"/>
      <c r="H71" s="412"/>
      <c r="I71" s="412"/>
      <c r="J71" s="412"/>
      <c r="K71" s="412"/>
      <c r="L71" s="413"/>
      <c r="M71" s="209" t="s">
        <v>42</v>
      </c>
      <c r="N71" s="118"/>
      <c r="O71" s="129"/>
      <c r="P71" s="126"/>
      <c r="Q71" s="126"/>
      <c r="R71" s="126"/>
      <c r="S71" s="126"/>
      <c r="T71" s="126"/>
      <c r="U71" s="126"/>
      <c r="V71" s="126"/>
      <c r="W71" s="118"/>
      <c r="X71" s="118"/>
    </row>
    <row r="72" spans="1:24" ht="33" customHeight="1" thickBot="1">
      <c r="A72" s="118"/>
      <c r="B72" s="172">
        <f>B68+1</f>
        <v>46349</v>
      </c>
      <c r="C72" s="173" t="str">
        <f t="shared" ref="C72:C78" si="11">LEFT(TEXT(B72,"dddd"))</f>
        <v>M</v>
      </c>
      <c r="D72" s="174"/>
      <c r="E72" s="210"/>
      <c r="F72" s="176"/>
      <c r="G72" s="177"/>
      <c r="H72" s="176"/>
      <c r="I72" s="176"/>
      <c r="J72" s="176"/>
      <c r="K72" s="176"/>
      <c r="L72" s="178"/>
      <c r="M72" s="214">
        <f>IFERROR(AVERAGEIF(I72:I78,"&gt;"&amp;0,I72:I78),0)</f>
        <v>0</v>
      </c>
      <c r="N72" s="118"/>
      <c r="O72" s="129"/>
      <c r="P72" s="126"/>
      <c r="Q72" s="416"/>
      <c r="R72" s="415"/>
      <c r="S72" s="416"/>
      <c r="T72" s="415"/>
      <c r="U72" s="416"/>
      <c r="V72" s="415"/>
      <c r="W72" s="118"/>
      <c r="X72" s="118"/>
    </row>
    <row r="73" spans="1:24" ht="21.75" customHeight="1">
      <c r="A73" s="118"/>
      <c r="B73" s="180">
        <f t="shared" ref="B73:B78" si="12">B72+1</f>
        <v>46350</v>
      </c>
      <c r="C73" s="181" t="str">
        <f t="shared" si="11"/>
        <v>T</v>
      </c>
      <c r="D73" s="182"/>
      <c r="E73" s="183"/>
      <c r="F73" s="184"/>
      <c r="G73" s="177"/>
      <c r="H73" s="184"/>
      <c r="I73" s="176"/>
      <c r="J73" s="184"/>
      <c r="K73" s="176"/>
      <c r="L73" s="185"/>
      <c r="M73" s="209" t="s">
        <v>39</v>
      </c>
      <c r="N73" s="118"/>
      <c r="O73" s="118"/>
      <c r="P73" s="129"/>
      <c r="Q73" s="414"/>
      <c r="R73" s="415"/>
      <c r="S73" s="414"/>
      <c r="T73" s="415"/>
      <c r="U73" s="414"/>
      <c r="V73" s="415"/>
      <c r="W73" s="118"/>
      <c r="X73" s="118"/>
    </row>
    <row r="74" spans="1:24" ht="21.75" customHeight="1" thickBot="1">
      <c r="A74" s="118"/>
      <c r="B74" s="180">
        <f t="shared" si="12"/>
        <v>46351</v>
      </c>
      <c r="C74" s="181" t="str">
        <f t="shared" si="11"/>
        <v>W</v>
      </c>
      <c r="D74" s="182"/>
      <c r="E74" s="183"/>
      <c r="F74" s="184"/>
      <c r="G74" s="177"/>
      <c r="H74" s="184"/>
      <c r="I74" s="176"/>
      <c r="J74" s="184"/>
      <c r="K74" s="176"/>
      <c r="L74" s="185"/>
      <c r="M74" s="216">
        <f>IFERROR(AVERAGEIF(G72:G78,"&gt;"&amp;0,G72:G78),0)</f>
        <v>0</v>
      </c>
      <c r="N74" s="118"/>
      <c r="O74" s="118"/>
      <c r="P74" s="129"/>
      <c r="Q74" s="414"/>
      <c r="R74" s="415"/>
      <c r="S74" s="414"/>
      <c r="T74" s="415"/>
      <c r="U74" s="414"/>
      <c r="V74" s="415"/>
      <c r="W74" s="118"/>
      <c r="X74" s="118"/>
    </row>
    <row r="75" spans="1:24" ht="21.75" customHeight="1">
      <c r="A75" s="118"/>
      <c r="B75" s="180">
        <f t="shared" si="12"/>
        <v>46352</v>
      </c>
      <c r="C75" s="181" t="str">
        <f t="shared" si="11"/>
        <v>T</v>
      </c>
      <c r="D75" s="182"/>
      <c r="E75" s="183"/>
      <c r="F75" s="184"/>
      <c r="G75" s="177"/>
      <c r="H75" s="184"/>
      <c r="I75" s="176"/>
      <c r="J75" s="184"/>
      <c r="K75" s="176"/>
      <c r="L75" s="185"/>
      <c r="M75" s="209" t="s">
        <v>40</v>
      </c>
      <c r="N75" s="118"/>
      <c r="O75" s="86"/>
      <c r="P75" s="129"/>
      <c r="Q75" s="414"/>
      <c r="R75" s="415"/>
      <c r="S75" s="414"/>
      <c r="T75" s="415"/>
      <c r="U75" s="414"/>
      <c r="V75" s="415"/>
      <c r="W75" s="118"/>
      <c r="X75" s="118"/>
    </row>
    <row r="76" spans="1:24" ht="21.75" customHeight="1" thickBot="1">
      <c r="A76" s="118"/>
      <c r="B76" s="180">
        <f t="shared" si="12"/>
        <v>46353</v>
      </c>
      <c r="C76" s="181" t="str">
        <f t="shared" si="11"/>
        <v>F</v>
      </c>
      <c r="D76" s="182"/>
      <c r="E76" s="183"/>
      <c r="F76" s="184"/>
      <c r="G76" s="177"/>
      <c r="H76" s="184"/>
      <c r="I76" s="176"/>
      <c r="J76" s="184"/>
      <c r="K76" s="176"/>
      <c r="L76" s="185"/>
      <c r="M76" s="217">
        <f>IFERROR(AVERAGEIF(D72:D78,"&gt;"&amp;0,D72:D78),0)</f>
        <v>0</v>
      </c>
      <c r="N76" s="118"/>
      <c r="O76" s="126"/>
      <c r="P76" s="129"/>
      <c r="Q76" s="414"/>
      <c r="R76" s="415"/>
      <c r="S76" s="414"/>
      <c r="T76" s="415"/>
      <c r="U76" s="414"/>
      <c r="V76" s="415"/>
      <c r="W76" s="118"/>
      <c r="X76" s="118"/>
    </row>
    <row r="77" spans="1:24" ht="21.75" customHeight="1">
      <c r="A77" s="118"/>
      <c r="B77" s="180">
        <f t="shared" si="12"/>
        <v>46354</v>
      </c>
      <c r="C77" s="181" t="str">
        <f t="shared" si="11"/>
        <v>S</v>
      </c>
      <c r="D77" s="182"/>
      <c r="E77" s="183"/>
      <c r="F77" s="184"/>
      <c r="G77" s="177"/>
      <c r="H77" s="184"/>
      <c r="I77" s="176"/>
      <c r="J77" s="184"/>
      <c r="K77" s="176"/>
      <c r="L77" s="211"/>
      <c r="M77" s="209" t="s">
        <v>41</v>
      </c>
      <c r="N77" s="118"/>
      <c r="O77" s="129"/>
      <c r="P77" s="126"/>
      <c r="Q77" s="416"/>
      <c r="R77" s="415"/>
      <c r="S77" s="416"/>
      <c r="T77" s="415"/>
      <c r="U77" s="416"/>
      <c r="V77" s="415"/>
      <c r="W77" s="118"/>
      <c r="X77" s="118"/>
    </row>
    <row r="78" spans="1:24" ht="21.75" customHeight="1" thickBot="1">
      <c r="A78" s="118"/>
      <c r="B78" s="198">
        <f t="shared" si="12"/>
        <v>46355</v>
      </c>
      <c r="C78" s="197" t="str">
        <f t="shared" si="11"/>
        <v>S</v>
      </c>
      <c r="D78" s="199"/>
      <c r="E78" s="221"/>
      <c r="F78" s="201"/>
      <c r="G78" s="202"/>
      <c r="H78" s="201"/>
      <c r="I78" s="201"/>
      <c r="J78" s="201"/>
      <c r="K78" s="201"/>
      <c r="L78" s="203"/>
      <c r="M78" s="196" t="e">
        <f>1-(M66/M76)</f>
        <v>#DIV/0!</v>
      </c>
      <c r="N78" s="118"/>
      <c r="O78" s="129"/>
      <c r="P78" s="129"/>
      <c r="Q78" s="414"/>
      <c r="R78" s="415"/>
      <c r="S78" s="414"/>
      <c r="T78" s="415"/>
      <c r="U78" s="414"/>
      <c r="V78" s="415"/>
      <c r="W78" s="118"/>
      <c r="X78" s="118"/>
    </row>
    <row r="79" spans="1:24" ht="15.75" customHeight="1" thickBot="1">
      <c r="A79" s="118"/>
      <c r="B79" s="204"/>
      <c r="C79" s="205"/>
      <c r="D79" s="204"/>
      <c r="E79" s="206"/>
      <c r="F79" s="206"/>
      <c r="G79" s="206"/>
      <c r="H79" s="206"/>
      <c r="I79" s="206"/>
      <c r="J79" s="206"/>
      <c r="K79" s="206"/>
      <c r="L79" s="205"/>
      <c r="M79" s="207"/>
      <c r="N79" s="86"/>
      <c r="O79" s="129"/>
      <c r="P79" s="86"/>
      <c r="Q79" s="86"/>
      <c r="R79" s="86"/>
      <c r="S79" s="86"/>
      <c r="T79" s="86"/>
      <c r="U79" s="86"/>
      <c r="V79" s="86"/>
      <c r="W79" s="118"/>
      <c r="X79" s="118"/>
    </row>
    <row r="80" spans="1:24" ht="15.75" customHeight="1" thickBot="1">
      <c r="A80" s="118"/>
      <c r="B80" s="396" t="s">
        <v>19</v>
      </c>
      <c r="C80" s="397"/>
      <c r="D80" s="397"/>
      <c r="E80" s="397"/>
      <c r="F80" s="397"/>
      <c r="G80" s="397"/>
      <c r="H80" s="397"/>
      <c r="I80" s="397"/>
      <c r="J80" s="397"/>
      <c r="K80" s="397"/>
      <c r="L80" s="398"/>
      <c r="M80" s="208" t="s">
        <v>38</v>
      </c>
      <c r="N80" s="86"/>
      <c r="O80" s="129"/>
      <c r="P80" s="86"/>
      <c r="Q80" s="86"/>
      <c r="R80" s="86"/>
      <c r="S80" s="86"/>
      <c r="T80" s="86"/>
      <c r="U80" s="86"/>
      <c r="V80" s="124"/>
      <c r="W80" s="118"/>
      <c r="X80" s="118"/>
    </row>
    <row r="81" spans="1:24" ht="21.75" customHeight="1" thickBot="1">
      <c r="A81" s="118"/>
      <c r="B81" s="417"/>
      <c r="C81" s="418"/>
      <c r="D81" s="418"/>
      <c r="E81" s="418"/>
      <c r="F81" s="418"/>
      <c r="G81" s="418"/>
      <c r="H81" s="418"/>
      <c r="I81" s="418"/>
      <c r="J81" s="418"/>
      <c r="K81" s="418"/>
      <c r="L81" s="419"/>
      <c r="M81" s="209" t="s">
        <v>42</v>
      </c>
      <c r="N81" s="118"/>
      <c r="O81" s="129"/>
      <c r="P81" s="126"/>
      <c r="Q81" s="126"/>
      <c r="R81" s="126"/>
      <c r="S81" s="126"/>
      <c r="T81" s="126"/>
      <c r="U81" s="126"/>
      <c r="V81" s="126"/>
      <c r="W81" s="118"/>
      <c r="X81" s="118"/>
    </row>
    <row r="82" spans="1:24" ht="21.75" customHeight="1" thickBot="1">
      <c r="A82" s="118"/>
      <c r="B82" s="172">
        <f>B78+1</f>
        <v>46356</v>
      </c>
      <c r="C82" s="173" t="str">
        <f t="shared" ref="C82:C88" si="13">LEFT(TEXT(B82,"dddd"))</f>
        <v>M</v>
      </c>
      <c r="D82" s="174"/>
      <c r="E82" s="210"/>
      <c r="F82" s="176"/>
      <c r="G82" s="177"/>
      <c r="H82" s="222"/>
      <c r="I82" s="223"/>
      <c r="J82" s="220"/>
      <c r="K82" s="176"/>
      <c r="L82" s="178"/>
      <c r="M82" s="214">
        <f>IFERROR(AVERAGEIF(I82:I88,"&gt;"&amp;0,I82:I88),0)</f>
        <v>0</v>
      </c>
      <c r="N82" s="118"/>
      <c r="O82" s="129"/>
      <c r="P82" s="126"/>
      <c r="Q82" s="416"/>
      <c r="R82" s="415"/>
      <c r="S82" s="416"/>
      <c r="T82" s="415"/>
      <c r="U82" s="416"/>
      <c r="V82" s="415"/>
      <c r="W82" s="118"/>
      <c r="X82" s="118"/>
    </row>
    <row r="83" spans="1:24" ht="21.75" customHeight="1">
      <c r="A83" s="118"/>
      <c r="B83" s="180">
        <f t="shared" ref="B83:B88" si="14">B82+1</f>
        <v>46357</v>
      </c>
      <c r="C83" s="181" t="str">
        <f t="shared" si="13"/>
        <v>T</v>
      </c>
      <c r="D83" s="182"/>
      <c r="E83" s="183"/>
      <c r="F83" s="184"/>
      <c r="G83" s="177"/>
      <c r="H83" s="224"/>
      <c r="I83" s="224"/>
      <c r="J83" s="184"/>
      <c r="K83" s="176"/>
      <c r="L83" s="185"/>
      <c r="M83" s="209" t="s">
        <v>39</v>
      </c>
      <c r="N83" s="118"/>
      <c r="O83" s="118"/>
      <c r="P83" s="129"/>
      <c r="Q83" s="414"/>
      <c r="R83" s="415"/>
      <c r="S83" s="414"/>
      <c r="T83" s="415"/>
      <c r="U83" s="414"/>
      <c r="V83" s="415"/>
      <c r="W83" s="118"/>
      <c r="X83" s="118"/>
    </row>
    <row r="84" spans="1:24" ht="21.75" customHeight="1" thickBot="1">
      <c r="A84" s="118"/>
      <c r="B84" s="180">
        <f t="shared" si="14"/>
        <v>46358</v>
      </c>
      <c r="C84" s="181" t="str">
        <f t="shared" si="13"/>
        <v>W</v>
      </c>
      <c r="D84" s="182"/>
      <c r="E84" s="183"/>
      <c r="F84" s="184"/>
      <c r="G84" s="177"/>
      <c r="H84" s="224"/>
      <c r="I84" s="224"/>
      <c r="J84" s="184"/>
      <c r="K84" s="176"/>
      <c r="L84" s="185"/>
      <c r="M84" s="216">
        <f>IFERROR(AVERAGEIF(G82:G88,"&gt;"&amp;0,G82:G88),0)</f>
        <v>0</v>
      </c>
      <c r="N84" s="118"/>
      <c r="O84" s="118"/>
      <c r="P84" s="129"/>
      <c r="Q84" s="414"/>
      <c r="R84" s="415"/>
      <c r="S84" s="414"/>
      <c r="T84" s="415"/>
      <c r="U84" s="414"/>
      <c r="V84" s="415"/>
      <c r="W84" s="118"/>
      <c r="X84" s="118"/>
    </row>
    <row r="85" spans="1:24" ht="21.75" customHeight="1">
      <c r="A85" s="118"/>
      <c r="B85" s="180">
        <f t="shared" si="14"/>
        <v>46359</v>
      </c>
      <c r="C85" s="181" t="str">
        <f t="shared" si="13"/>
        <v>T</v>
      </c>
      <c r="D85" s="182"/>
      <c r="E85" s="183"/>
      <c r="F85" s="184"/>
      <c r="G85" s="177"/>
      <c r="H85" s="224"/>
      <c r="I85" s="224"/>
      <c r="J85" s="184"/>
      <c r="K85" s="176"/>
      <c r="L85" s="185"/>
      <c r="M85" s="209" t="s">
        <v>40</v>
      </c>
      <c r="N85" s="118"/>
      <c r="O85" s="86"/>
      <c r="P85" s="129"/>
      <c r="Q85" s="414"/>
      <c r="R85" s="415"/>
      <c r="S85" s="414"/>
      <c r="T85" s="415"/>
      <c r="U85" s="414"/>
      <c r="V85" s="415"/>
      <c r="W85" s="118"/>
      <c r="X85" s="118"/>
    </row>
    <row r="86" spans="1:24" ht="21.75" customHeight="1" thickBot="1">
      <c r="A86" s="118"/>
      <c r="B86" s="180">
        <f t="shared" si="14"/>
        <v>46360</v>
      </c>
      <c r="C86" s="181" t="str">
        <f t="shared" si="13"/>
        <v>F</v>
      </c>
      <c r="D86" s="182"/>
      <c r="E86" s="183"/>
      <c r="F86" s="184"/>
      <c r="G86" s="177"/>
      <c r="H86" s="224"/>
      <c r="I86" s="224"/>
      <c r="J86" s="184"/>
      <c r="K86" s="176"/>
      <c r="L86" s="185"/>
      <c r="M86" s="217">
        <f>IFERROR(AVERAGEIF(D82:D88,"&gt;"&amp;0,D82:D88),0)</f>
        <v>0</v>
      </c>
      <c r="N86" s="118"/>
      <c r="O86" s="126"/>
      <c r="P86" s="129"/>
      <c r="Q86" s="414"/>
      <c r="R86" s="415"/>
      <c r="S86" s="414"/>
      <c r="T86" s="415"/>
      <c r="U86" s="414"/>
      <c r="V86" s="415"/>
      <c r="W86" s="118"/>
      <c r="X86" s="118"/>
    </row>
    <row r="87" spans="1:24" ht="21.75" customHeight="1">
      <c r="A87" s="118"/>
      <c r="B87" s="180">
        <f t="shared" si="14"/>
        <v>46361</v>
      </c>
      <c r="C87" s="181" t="str">
        <f t="shared" si="13"/>
        <v>S</v>
      </c>
      <c r="D87" s="182"/>
      <c r="E87" s="183"/>
      <c r="F87" s="184"/>
      <c r="G87" s="177"/>
      <c r="H87" s="224"/>
      <c r="I87" s="224"/>
      <c r="J87" s="184"/>
      <c r="K87" s="176"/>
      <c r="L87" s="211"/>
      <c r="M87" s="209" t="s">
        <v>41</v>
      </c>
      <c r="N87" s="118"/>
      <c r="O87" s="129"/>
      <c r="P87" s="126"/>
      <c r="Q87" s="416"/>
      <c r="R87" s="415"/>
      <c r="S87" s="416"/>
      <c r="T87" s="415"/>
      <c r="U87" s="416"/>
      <c r="V87" s="415"/>
      <c r="W87" s="118"/>
      <c r="X87" s="118"/>
    </row>
    <row r="88" spans="1:24" ht="21.75" customHeight="1" thickBot="1">
      <c r="A88" s="118"/>
      <c r="B88" s="198">
        <f t="shared" si="14"/>
        <v>46362</v>
      </c>
      <c r="C88" s="197" t="str">
        <f t="shared" si="13"/>
        <v>S</v>
      </c>
      <c r="D88" s="199"/>
      <c r="E88" s="200"/>
      <c r="F88" s="201"/>
      <c r="G88" s="202"/>
      <c r="H88" s="225"/>
      <c r="I88" s="225"/>
      <c r="J88" s="201"/>
      <c r="K88" s="201"/>
      <c r="L88" s="203"/>
      <c r="M88" s="196" t="e">
        <f>1-(M76/M86)</f>
        <v>#DIV/0!</v>
      </c>
      <c r="N88" s="118"/>
      <c r="O88" s="129"/>
      <c r="P88" s="129"/>
      <c r="Q88" s="414"/>
      <c r="R88" s="415"/>
      <c r="S88" s="414"/>
      <c r="T88" s="415"/>
      <c r="U88" s="414"/>
      <c r="V88" s="415"/>
      <c r="W88" s="118"/>
      <c r="X88" s="118"/>
    </row>
    <row r="89" spans="1:24" ht="15.75" customHeight="1" thickBot="1">
      <c r="A89" s="118"/>
      <c r="B89" s="204"/>
      <c r="C89" s="205"/>
      <c r="D89" s="204"/>
      <c r="E89" s="206"/>
      <c r="F89" s="206"/>
      <c r="G89" s="206"/>
      <c r="H89" s="206"/>
      <c r="I89" s="219"/>
      <c r="J89" s="219"/>
      <c r="K89" s="206"/>
      <c r="L89" s="205"/>
      <c r="M89" s="207"/>
      <c r="N89" s="86"/>
      <c r="O89" s="129"/>
      <c r="P89" s="86"/>
      <c r="Q89" s="86"/>
      <c r="R89" s="86"/>
      <c r="S89" s="86"/>
      <c r="T89" s="86"/>
      <c r="U89" s="86"/>
      <c r="V89" s="86"/>
      <c r="W89" s="118"/>
      <c r="X89" s="118"/>
    </row>
    <row r="90" spans="1:24" ht="15.75" customHeight="1" thickBot="1">
      <c r="A90" s="118"/>
      <c r="B90" s="396" t="s">
        <v>20</v>
      </c>
      <c r="C90" s="409"/>
      <c r="D90" s="409"/>
      <c r="E90" s="409"/>
      <c r="F90" s="409"/>
      <c r="G90" s="409"/>
      <c r="H90" s="409"/>
      <c r="I90" s="409"/>
      <c r="J90" s="409"/>
      <c r="K90" s="409"/>
      <c r="L90" s="410"/>
      <c r="M90" s="208" t="s">
        <v>38</v>
      </c>
      <c r="N90" s="86"/>
      <c r="O90" s="129"/>
      <c r="P90" s="86"/>
      <c r="Q90" s="86"/>
      <c r="R90" s="86"/>
      <c r="S90" s="86"/>
      <c r="T90" s="86"/>
      <c r="U90" s="86"/>
      <c r="V90" s="124"/>
      <c r="W90" s="118"/>
      <c r="X90" s="118"/>
    </row>
    <row r="91" spans="1:24" ht="21.75" customHeight="1" thickBot="1">
      <c r="A91" s="118"/>
      <c r="B91" s="411"/>
      <c r="C91" s="412"/>
      <c r="D91" s="412"/>
      <c r="E91" s="412"/>
      <c r="F91" s="412"/>
      <c r="G91" s="412"/>
      <c r="H91" s="412"/>
      <c r="I91" s="412"/>
      <c r="J91" s="412"/>
      <c r="K91" s="412"/>
      <c r="L91" s="413"/>
      <c r="M91" s="209" t="s">
        <v>42</v>
      </c>
      <c r="N91" s="118"/>
      <c r="O91" s="129"/>
      <c r="P91" s="126"/>
      <c r="Q91" s="126"/>
      <c r="R91" s="126"/>
      <c r="S91" s="126"/>
      <c r="T91" s="126"/>
      <c r="U91" s="126"/>
      <c r="V91" s="126"/>
      <c r="W91" s="118"/>
      <c r="X91" s="118"/>
    </row>
    <row r="92" spans="1:24" ht="21.75" customHeight="1" thickBot="1">
      <c r="A92" s="118"/>
      <c r="B92" s="172">
        <f>B88+1</f>
        <v>46363</v>
      </c>
      <c r="C92" s="173" t="str">
        <f t="shared" ref="C92:C98" si="15">LEFT(TEXT(B92,"dddd"))</f>
        <v>M</v>
      </c>
      <c r="D92" s="174"/>
      <c r="E92" s="210"/>
      <c r="F92" s="176"/>
      <c r="G92" s="177"/>
      <c r="H92" s="222"/>
      <c r="I92" s="223"/>
      <c r="J92" s="220"/>
      <c r="K92" s="176"/>
      <c r="L92" s="178"/>
      <c r="M92" s="214">
        <f>IFERROR(AVERAGEIF(I92:I98,"&gt;"&amp;0,I92:I98),0)</f>
        <v>0</v>
      </c>
      <c r="N92" s="118"/>
      <c r="O92" s="129"/>
      <c r="P92" s="126"/>
      <c r="Q92" s="416"/>
      <c r="R92" s="415"/>
      <c r="S92" s="416"/>
      <c r="T92" s="415"/>
      <c r="U92" s="416"/>
      <c r="V92" s="415"/>
      <c r="W92" s="118"/>
      <c r="X92" s="118"/>
    </row>
    <row r="93" spans="1:24" ht="21.75" customHeight="1">
      <c r="A93" s="118"/>
      <c r="B93" s="180">
        <f t="shared" ref="B93:B98" si="16">B92+1</f>
        <v>46364</v>
      </c>
      <c r="C93" s="181" t="str">
        <f t="shared" si="15"/>
        <v>T</v>
      </c>
      <c r="D93" s="182"/>
      <c r="E93" s="210"/>
      <c r="F93" s="184"/>
      <c r="G93" s="177"/>
      <c r="H93" s="224"/>
      <c r="I93" s="224"/>
      <c r="J93" s="184"/>
      <c r="K93" s="176"/>
      <c r="L93" s="185"/>
      <c r="M93" s="209" t="s">
        <v>39</v>
      </c>
      <c r="N93" s="118"/>
      <c r="O93" s="118"/>
      <c r="P93" s="129"/>
      <c r="Q93" s="414"/>
      <c r="R93" s="415"/>
      <c r="S93" s="414"/>
      <c r="T93" s="415"/>
      <c r="U93" s="414"/>
      <c r="V93" s="415"/>
      <c r="W93" s="118"/>
      <c r="X93" s="118"/>
    </row>
    <row r="94" spans="1:24" ht="21.75" customHeight="1" thickBot="1">
      <c r="A94" s="118"/>
      <c r="B94" s="180">
        <f t="shared" si="16"/>
        <v>46365</v>
      </c>
      <c r="C94" s="181" t="str">
        <f t="shared" si="15"/>
        <v>W</v>
      </c>
      <c r="D94" s="182"/>
      <c r="E94" s="183"/>
      <c r="F94" s="184"/>
      <c r="G94" s="177"/>
      <c r="H94" s="224"/>
      <c r="I94" s="224"/>
      <c r="J94" s="184"/>
      <c r="K94" s="176"/>
      <c r="L94" s="185"/>
      <c r="M94" s="216">
        <f>IFERROR(AVERAGEIF(G92:G98,"&gt;"&amp;0,G92:G98),0)</f>
        <v>0</v>
      </c>
      <c r="N94" s="118"/>
      <c r="O94" s="118"/>
      <c r="P94" s="129"/>
      <c r="Q94" s="414"/>
      <c r="R94" s="415"/>
      <c r="S94" s="414"/>
      <c r="T94" s="415"/>
      <c r="U94" s="414"/>
      <c r="V94" s="415"/>
      <c r="W94" s="118"/>
      <c r="X94" s="118"/>
    </row>
    <row r="95" spans="1:24" ht="21.75" customHeight="1">
      <c r="A95" s="118"/>
      <c r="B95" s="180">
        <f t="shared" si="16"/>
        <v>46366</v>
      </c>
      <c r="C95" s="181" t="str">
        <f t="shared" si="15"/>
        <v>T</v>
      </c>
      <c r="D95" s="182"/>
      <c r="E95" s="184"/>
      <c r="F95" s="184"/>
      <c r="G95" s="177"/>
      <c r="H95" s="224"/>
      <c r="I95" s="224"/>
      <c r="J95" s="184"/>
      <c r="K95" s="176"/>
      <c r="L95" s="185"/>
      <c r="M95" s="209" t="s">
        <v>40</v>
      </c>
      <c r="N95" s="118"/>
      <c r="O95" s="86"/>
      <c r="P95" s="129"/>
      <c r="Q95" s="414"/>
      <c r="R95" s="415"/>
      <c r="S95" s="414"/>
      <c r="T95" s="415"/>
      <c r="U95" s="414"/>
      <c r="V95" s="415"/>
      <c r="W95" s="118"/>
      <c r="X95" s="118"/>
    </row>
    <row r="96" spans="1:24" ht="21.75" customHeight="1" thickBot="1">
      <c r="A96" s="118"/>
      <c r="B96" s="180">
        <f t="shared" si="16"/>
        <v>46367</v>
      </c>
      <c r="C96" s="181" t="str">
        <f t="shared" si="15"/>
        <v>F</v>
      </c>
      <c r="D96" s="182"/>
      <c r="E96" s="226"/>
      <c r="F96" s="184"/>
      <c r="G96" s="177"/>
      <c r="H96" s="224"/>
      <c r="I96" s="224"/>
      <c r="J96" s="184"/>
      <c r="K96" s="176"/>
      <c r="L96" s="185"/>
      <c r="M96" s="217">
        <f>IFERROR(AVERAGEIF(D92:D98,"&gt;"&amp;0,D92:D98),0)</f>
        <v>0</v>
      </c>
      <c r="N96" s="118"/>
      <c r="O96" s="126"/>
      <c r="P96" s="129"/>
      <c r="Q96" s="414"/>
      <c r="R96" s="415"/>
      <c r="S96" s="414"/>
      <c r="T96" s="415"/>
      <c r="U96" s="414"/>
      <c r="V96" s="415"/>
      <c r="W96" s="118"/>
      <c r="X96" s="118"/>
    </row>
    <row r="97" spans="1:24" ht="21.75" customHeight="1">
      <c r="A97" s="118"/>
      <c r="B97" s="180">
        <f t="shared" si="16"/>
        <v>46368</v>
      </c>
      <c r="C97" s="181" t="str">
        <f t="shared" si="15"/>
        <v>S</v>
      </c>
      <c r="D97" s="182"/>
      <c r="E97" s="226"/>
      <c r="F97" s="184"/>
      <c r="G97" s="177"/>
      <c r="H97" s="224"/>
      <c r="I97" s="224"/>
      <c r="J97" s="184"/>
      <c r="K97" s="176"/>
      <c r="L97" s="211"/>
      <c r="M97" s="209" t="s">
        <v>41</v>
      </c>
      <c r="N97" s="118"/>
      <c r="O97" s="129"/>
      <c r="P97" s="126"/>
      <c r="Q97" s="416"/>
      <c r="R97" s="415"/>
      <c r="S97" s="416"/>
      <c r="T97" s="415"/>
      <c r="U97" s="416"/>
      <c r="V97" s="415"/>
      <c r="W97" s="118"/>
      <c r="X97" s="118"/>
    </row>
    <row r="98" spans="1:24" ht="21.75" customHeight="1">
      <c r="A98" s="118"/>
      <c r="B98" s="188">
        <f t="shared" si="16"/>
        <v>46369</v>
      </c>
      <c r="C98" s="189" t="str">
        <f t="shared" si="15"/>
        <v>S</v>
      </c>
      <c r="D98" s="190"/>
      <c r="E98" s="192"/>
      <c r="F98" s="192"/>
      <c r="G98" s="193"/>
      <c r="H98" s="227"/>
      <c r="I98" s="227"/>
      <c r="J98" s="192"/>
      <c r="K98" s="192"/>
      <c r="L98" s="195"/>
      <c r="M98" s="196" t="e">
        <f>1-(M86/M96)</f>
        <v>#DIV/0!</v>
      </c>
      <c r="N98" s="118"/>
      <c r="O98" s="129"/>
      <c r="P98" s="129"/>
      <c r="Q98" s="414"/>
      <c r="R98" s="415"/>
      <c r="S98" s="414"/>
      <c r="T98" s="415"/>
      <c r="U98" s="414"/>
      <c r="V98" s="415"/>
      <c r="W98" s="118"/>
      <c r="X98" s="118"/>
    </row>
    <row r="99" spans="1:24" ht="15.75" customHeight="1" thickBot="1">
      <c r="A99" s="118"/>
      <c r="B99" s="204"/>
      <c r="C99" s="205"/>
      <c r="D99" s="204"/>
      <c r="E99" s="206"/>
      <c r="F99" s="206"/>
      <c r="G99" s="206"/>
      <c r="H99" s="206"/>
      <c r="I99" s="219"/>
      <c r="J99" s="219"/>
      <c r="K99" s="206"/>
      <c r="L99" s="205"/>
      <c r="M99" s="207"/>
      <c r="N99" s="86"/>
      <c r="O99" s="129"/>
      <c r="P99" s="86"/>
      <c r="Q99" s="86"/>
      <c r="R99" s="86"/>
      <c r="S99" s="86"/>
      <c r="T99" s="86"/>
      <c r="U99" s="86"/>
      <c r="V99" s="124"/>
      <c r="W99" s="118"/>
      <c r="X99" s="118"/>
    </row>
    <row r="100" spans="1:24" ht="21.75" customHeight="1" thickBot="1">
      <c r="A100" s="118"/>
      <c r="B100" s="396" t="s">
        <v>241</v>
      </c>
      <c r="C100" s="409"/>
      <c r="D100" s="409"/>
      <c r="E100" s="409"/>
      <c r="F100" s="409"/>
      <c r="G100" s="409"/>
      <c r="H100" s="409"/>
      <c r="I100" s="409"/>
      <c r="J100" s="409"/>
      <c r="K100" s="409"/>
      <c r="L100" s="410"/>
      <c r="M100" s="208" t="s">
        <v>38</v>
      </c>
      <c r="N100" s="126"/>
      <c r="O100" s="129"/>
      <c r="P100" s="416"/>
      <c r="Q100" s="415"/>
      <c r="R100" s="416"/>
      <c r="S100" s="415"/>
      <c r="T100" s="416"/>
      <c r="U100" s="415"/>
      <c r="V100" s="118"/>
      <c r="W100" s="118"/>
      <c r="X100" s="118"/>
    </row>
    <row r="101" spans="1:24" ht="21.75" customHeight="1" thickBot="1">
      <c r="A101" s="118"/>
      <c r="B101" s="411"/>
      <c r="C101" s="412"/>
      <c r="D101" s="412"/>
      <c r="E101" s="412"/>
      <c r="F101" s="412"/>
      <c r="G101" s="412"/>
      <c r="H101" s="412"/>
      <c r="I101" s="412"/>
      <c r="J101" s="412"/>
      <c r="K101" s="412"/>
      <c r="L101" s="413"/>
      <c r="M101" s="209" t="s">
        <v>42</v>
      </c>
      <c r="N101" s="129"/>
      <c r="O101" s="126"/>
      <c r="P101" s="414"/>
      <c r="Q101" s="415"/>
      <c r="R101" s="414"/>
      <c r="S101" s="415"/>
      <c r="T101" s="414"/>
      <c r="U101" s="415"/>
      <c r="V101" s="118"/>
      <c r="W101" s="118"/>
      <c r="X101" s="118"/>
    </row>
    <row r="102" spans="1:24" ht="21.75" customHeight="1" thickBot="1">
      <c r="A102" s="118"/>
      <c r="B102" s="172">
        <f>B98+1</f>
        <v>46370</v>
      </c>
      <c r="C102" s="173" t="str">
        <f t="shared" ref="C102:C108" si="17">LEFT(TEXT(B102,"dddd"))</f>
        <v>M</v>
      </c>
      <c r="D102" s="174"/>
      <c r="E102" s="210"/>
      <c r="F102" s="176"/>
      <c r="G102" s="177"/>
      <c r="H102" s="222"/>
      <c r="I102" s="223"/>
      <c r="J102" s="220"/>
      <c r="K102" s="176"/>
      <c r="L102" s="178"/>
      <c r="M102" s="214">
        <f>IFERROR(AVERAGEIF(I102:I108,"&gt;"&amp;0,I102:I108),0)</f>
        <v>0</v>
      </c>
      <c r="N102" s="129"/>
      <c r="O102" s="129"/>
      <c r="P102" s="414"/>
      <c r="Q102" s="415"/>
      <c r="R102" s="414"/>
      <c r="S102" s="415"/>
      <c r="T102" s="414"/>
      <c r="U102" s="415"/>
      <c r="V102" s="118"/>
      <c r="W102" s="118"/>
      <c r="X102" s="118"/>
    </row>
    <row r="103" spans="1:24" ht="21.75" customHeight="1">
      <c r="A103" s="118"/>
      <c r="B103" s="180">
        <f t="shared" ref="B103:B108" si="18">B102+1</f>
        <v>46371</v>
      </c>
      <c r="C103" s="181" t="str">
        <f t="shared" si="17"/>
        <v>T</v>
      </c>
      <c r="D103" s="182"/>
      <c r="E103" s="210"/>
      <c r="F103" s="184"/>
      <c r="G103" s="177"/>
      <c r="H103" s="224"/>
      <c r="I103" s="224"/>
      <c r="J103" s="184"/>
      <c r="K103" s="176"/>
      <c r="L103" s="185"/>
      <c r="M103" s="209" t="s">
        <v>39</v>
      </c>
      <c r="N103" s="129"/>
      <c r="O103" s="86"/>
      <c r="P103" s="414"/>
      <c r="Q103" s="415"/>
      <c r="R103" s="414"/>
      <c r="S103" s="415"/>
      <c r="T103" s="414"/>
      <c r="U103" s="415"/>
      <c r="V103" s="118"/>
      <c r="W103" s="118"/>
      <c r="X103" s="118"/>
    </row>
    <row r="104" spans="1:24" ht="21.75" customHeight="1" thickBot="1">
      <c r="A104" s="118"/>
      <c r="B104" s="180">
        <f t="shared" si="18"/>
        <v>46372</v>
      </c>
      <c r="C104" s="181" t="str">
        <f t="shared" si="17"/>
        <v>W</v>
      </c>
      <c r="D104" s="182"/>
      <c r="E104" s="183"/>
      <c r="F104" s="184"/>
      <c r="G104" s="177"/>
      <c r="H104" s="224"/>
      <c r="I104" s="224"/>
      <c r="J104" s="184"/>
      <c r="K104" s="176"/>
      <c r="L104" s="185"/>
      <c r="M104" s="216">
        <f>IFERROR(AVERAGEIF(G102:G108,"&gt;"&amp;0,G102:G108),0)</f>
        <v>0</v>
      </c>
      <c r="N104" s="129"/>
      <c r="O104" s="126"/>
      <c r="P104" s="414"/>
      <c r="Q104" s="415"/>
      <c r="R104" s="414"/>
      <c r="S104" s="415"/>
      <c r="T104" s="414"/>
      <c r="U104" s="415"/>
      <c r="V104" s="118"/>
      <c r="W104" s="118"/>
      <c r="X104" s="118"/>
    </row>
    <row r="105" spans="1:24" ht="21.75" customHeight="1">
      <c r="A105" s="118"/>
      <c r="B105" s="180">
        <f t="shared" si="18"/>
        <v>46373</v>
      </c>
      <c r="C105" s="181" t="str">
        <f t="shared" si="17"/>
        <v>T</v>
      </c>
      <c r="D105" s="182"/>
      <c r="E105" s="184"/>
      <c r="F105" s="184"/>
      <c r="G105" s="177"/>
      <c r="H105" s="224"/>
      <c r="I105" s="224"/>
      <c r="J105" s="184"/>
      <c r="K105" s="176"/>
      <c r="L105" s="185"/>
      <c r="M105" s="209" t="s">
        <v>40</v>
      </c>
      <c r="N105" s="118"/>
      <c r="O105" s="129"/>
      <c r="P105" s="416"/>
      <c r="Q105" s="415"/>
      <c r="R105" s="416"/>
      <c r="S105" s="415"/>
      <c r="T105" s="416"/>
      <c r="U105" s="415"/>
      <c r="V105" s="118"/>
      <c r="W105" s="118"/>
      <c r="X105" s="118"/>
    </row>
    <row r="106" spans="1:24" ht="21.75" customHeight="1" thickBot="1">
      <c r="A106" s="118"/>
      <c r="B106" s="180">
        <f t="shared" si="18"/>
        <v>46374</v>
      </c>
      <c r="C106" s="181" t="str">
        <f t="shared" si="17"/>
        <v>F</v>
      </c>
      <c r="D106" s="182"/>
      <c r="E106" s="226"/>
      <c r="F106" s="184"/>
      <c r="G106" s="177"/>
      <c r="H106" s="224"/>
      <c r="I106" s="224"/>
      <c r="J106" s="184"/>
      <c r="K106" s="176"/>
      <c r="L106" s="185"/>
      <c r="M106" s="217">
        <f>IFERROR(AVERAGEIF(D102:D108,"&gt;"&amp;0,D102:D108),0)</f>
        <v>0</v>
      </c>
      <c r="N106" s="118"/>
      <c r="O106" s="129"/>
      <c r="P106" s="414"/>
      <c r="Q106" s="415"/>
      <c r="R106" s="414"/>
      <c r="S106" s="415"/>
      <c r="T106" s="414"/>
      <c r="U106" s="415"/>
      <c r="V106" s="118"/>
      <c r="W106" s="118"/>
      <c r="X106" s="118"/>
    </row>
    <row r="107" spans="1:24" ht="15.75" customHeight="1">
      <c r="A107" s="118"/>
      <c r="B107" s="180">
        <f t="shared" si="18"/>
        <v>46375</v>
      </c>
      <c r="C107" s="181" t="str">
        <f t="shared" si="17"/>
        <v>S</v>
      </c>
      <c r="D107" s="182"/>
      <c r="E107" s="226"/>
      <c r="F107" s="184"/>
      <c r="G107" s="177"/>
      <c r="H107" s="224"/>
      <c r="I107" s="224"/>
      <c r="J107" s="184"/>
      <c r="K107" s="176"/>
      <c r="L107" s="211"/>
      <c r="M107" s="209" t="s">
        <v>41</v>
      </c>
      <c r="N107" s="86"/>
      <c r="O107" s="129"/>
      <c r="P107" s="86"/>
      <c r="Q107" s="86"/>
      <c r="R107" s="86"/>
      <c r="S107" s="86"/>
      <c r="T107" s="86"/>
      <c r="U107" s="124"/>
      <c r="V107" s="118"/>
      <c r="W107" s="118"/>
      <c r="X107" s="118"/>
    </row>
    <row r="108" spans="1:24" ht="21.75" customHeight="1">
      <c r="A108" s="118"/>
      <c r="B108" s="188">
        <f t="shared" si="18"/>
        <v>46376</v>
      </c>
      <c r="C108" s="189" t="str">
        <f t="shared" si="17"/>
        <v>S</v>
      </c>
      <c r="D108" s="190"/>
      <c r="E108" s="192"/>
      <c r="F108" s="192"/>
      <c r="G108" s="193"/>
      <c r="H108" s="227"/>
      <c r="I108" s="227"/>
      <c r="J108" s="192"/>
      <c r="K108" s="192"/>
      <c r="L108" s="195"/>
      <c r="M108" s="196" t="e">
        <f>1-(M96/M106)</f>
        <v>#DIV/0!</v>
      </c>
      <c r="N108" s="126"/>
      <c r="O108" s="129"/>
      <c r="P108" s="416"/>
      <c r="Q108" s="415"/>
      <c r="R108" s="416"/>
      <c r="S108" s="415"/>
      <c r="T108" s="416"/>
      <c r="U108" s="415"/>
      <c r="V108" s="118"/>
      <c r="W108" s="118"/>
      <c r="X108" s="118"/>
    </row>
    <row r="109" spans="1:24" ht="21.75" customHeight="1" thickBot="1">
      <c r="A109" s="118"/>
      <c r="B109" s="204"/>
      <c r="C109" s="205"/>
      <c r="D109" s="204"/>
      <c r="E109" s="206"/>
      <c r="F109" s="206"/>
      <c r="G109" s="206"/>
      <c r="H109" s="206"/>
      <c r="I109" s="219"/>
      <c r="J109" s="219"/>
      <c r="K109" s="206"/>
      <c r="L109" s="205"/>
      <c r="M109" s="207"/>
      <c r="N109" s="129"/>
      <c r="O109" s="126"/>
      <c r="P109" s="414"/>
      <c r="Q109" s="415"/>
      <c r="R109" s="414"/>
      <c r="S109" s="415"/>
      <c r="T109" s="414"/>
      <c r="U109" s="415"/>
      <c r="V109" s="118"/>
      <c r="W109" s="118"/>
      <c r="X109" s="118"/>
    </row>
    <row r="110" spans="1:24" ht="21.75" customHeight="1" thickBot="1">
      <c r="A110" s="118"/>
      <c r="B110" s="396" t="s">
        <v>242</v>
      </c>
      <c r="C110" s="409"/>
      <c r="D110" s="409"/>
      <c r="E110" s="409"/>
      <c r="F110" s="409"/>
      <c r="G110" s="409"/>
      <c r="H110" s="409"/>
      <c r="I110" s="409"/>
      <c r="J110" s="409"/>
      <c r="K110" s="409"/>
      <c r="L110" s="410"/>
      <c r="M110" s="208" t="s">
        <v>38</v>
      </c>
      <c r="N110" s="129"/>
      <c r="O110" s="129"/>
      <c r="P110" s="414"/>
      <c r="Q110" s="415"/>
      <c r="R110" s="414"/>
      <c r="S110" s="415"/>
      <c r="T110" s="414"/>
      <c r="U110" s="415"/>
      <c r="V110" s="118"/>
      <c r="W110" s="118"/>
      <c r="X110" s="118"/>
    </row>
    <row r="111" spans="1:24" ht="15" customHeight="1" thickBot="1">
      <c r="B111" s="411"/>
      <c r="C111" s="412"/>
      <c r="D111" s="412"/>
      <c r="E111" s="412"/>
      <c r="F111" s="412"/>
      <c r="G111" s="412"/>
      <c r="H111" s="412"/>
      <c r="I111" s="412"/>
      <c r="J111" s="412"/>
      <c r="K111" s="412"/>
      <c r="L111" s="413"/>
      <c r="M111" s="209" t="s">
        <v>42</v>
      </c>
    </row>
    <row r="112" spans="1:24" ht="21.75" customHeight="1" thickBot="1">
      <c r="B112" s="172">
        <f>B108+1</f>
        <v>46377</v>
      </c>
      <c r="C112" s="173" t="str">
        <f t="shared" ref="C112:C118" si="19">LEFT(TEXT(B112,"dddd"))</f>
        <v>M</v>
      </c>
      <c r="D112" s="174"/>
      <c r="E112" s="210"/>
      <c r="F112" s="176"/>
      <c r="G112" s="177"/>
      <c r="H112" s="222"/>
      <c r="I112" s="223"/>
      <c r="J112" s="220"/>
      <c r="K112" s="176"/>
      <c r="L112" s="178"/>
      <c r="M112" s="214">
        <f>IFERROR(AVERAGEIF(I112:I118,"&gt;"&amp;0,I112:I118),0)</f>
        <v>0</v>
      </c>
    </row>
    <row r="113" spans="2:13" ht="21.75" customHeight="1">
      <c r="B113" s="180">
        <f t="shared" ref="B113:B118" si="20">B112+1</f>
        <v>46378</v>
      </c>
      <c r="C113" s="181" t="str">
        <f t="shared" si="19"/>
        <v>T</v>
      </c>
      <c r="D113" s="182"/>
      <c r="E113" s="210"/>
      <c r="F113" s="184"/>
      <c r="G113" s="177"/>
      <c r="H113" s="224"/>
      <c r="I113" s="224"/>
      <c r="J113" s="184"/>
      <c r="K113" s="176"/>
      <c r="L113" s="185"/>
      <c r="M113" s="209" t="s">
        <v>39</v>
      </c>
    </row>
    <row r="114" spans="2:13" ht="21.75" customHeight="1" thickBot="1">
      <c r="B114" s="180">
        <f t="shared" si="20"/>
        <v>46379</v>
      </c>
      <c r="C114" s="181" t="str">
        <f t="shared" si="19"/>
        <v>W</v>
      </c>
      <c r="D114" s="182"/>
      <c r="E114" s="183"/>
      <c r="F114" s="184"/>
      <c r="G114" s="177"/>
      <c r="H114" s="224"/>
      <c r="I114" s="224"/>
      <c r="J114" s="184"/>
      <c r="K114" s="176"/>
      <c r="L114" s="185"/>
      <c r="M114" s="216">
        <f>IFERROR(AVERAGEIF(G112:G118,"&gt;"&amp;0,G112:G118),0)</f>
        <v>0</v>
      </c>
    </row>
    <row r="115" spans="2:13" ht="21.75" customHeight="1">
      <c r="B115" s="180">
        <f t="shared" si="20"/>
        <v>46380</v>
      </c>
      <c r="C115" s="181" t="str">
        <f t="shared" si="19"/>
        <v>T</v>
      </c>
      <c r="D115" s="182"/>
      <c r="E115" s="184"/>
      <c r="F115" s="184"/>
      <c r="G115" s="177"/>
      <c r="H115" s="224"/>
      <c r="I115" s="224"/>
      <c r="J115" s="184"/>
      <c r="K115" s="176"/>
      <c r="L115" s="185"/>
      <c r="M115" s="209" t="s">
        <v>40</v>
      </c>
    </row>
    <row r="116" spans="2:13" ht="21.75" customHeight="1" thickBot="1">
      <c r="B116" s="180">
        <f t="shared" si="20"/>
        <v>46381</v>
      </c>
      <c r="C116" s="181" t="str">
        <f t="shared" si="19"/>
        <v>F</v>
      </c>
      <c r="D116" s="182"/>
      <c r="E116" s="226"/>
      <c r="F116" s="184"/>
      <c r="G116" s="177"/>
      <c r="H116" s="224"/>
      <c r="I116" s="224"/>
      <c r="J116" s="184"/>
      <c r="K116" s="176"/>
      <c r="L116" s="185"/>
      <c r="M116" s="217">
        <f>IFERROR(AVERAGEIF(D112:D118,"&gt;"&amp;0,D112:D118),0)</f>
        <v>0</v>
      </c>
    </row>
    <row r="117" spans="2:13" ht="21.75" customHeight="1">
      <c r="B117" s="180">
        <f t="shared" si="20"/>
        <v>46382</v>
      </c>
      <c r="C117" s="181" t="str">
        <f t="shared" si="19"/>
        <v>S</v>
      </c>
      <c r="D117" s="182"/>
      <c r="E117" s="226"/>
      <c r="F117" s="184"/>
      <c r="G117" s="177"/>
      <c r="H117" s="224"/>
      <c r="I117" s="224"/>
      <c r="J117" s="184"/>
      <c r="K117" s="176"/>
      <c r="L117" s="211"/>
      <c r="M117" s="209" t="s">
        <v>41</v>
      </c>
    </row>
    <row r="118" spans="2:13" ht="21.75" customHeight="1">
      <c r="B118" s="188">
        <f t="shared" si="20"/>
        <v>46383</v>
      </c>
      <c r="C118" s="189" t="str">
        <f t="shared" si="19"/>
        <v>S</v>
      </c>
      <c r="D118" s="190"/>
      <c r="E118" s="192"/>
      <c r="F118" s="192"/>
      <c r="G118" s="193"/>
      <c r="H118" s="227"/>
      <c r="I118" s="227"/>
      <c r="J118" s="192"/>
      <c r="K118" s="192"/>
      <c r="L118" s="195"/>
      <c r="M118" s="196" t="e">
        <f>1-(M106/M116)</f>
        <v>#DIV/0!</v>
      </c>
    </row>
    <row r="119" spans="2:13" ht="15" customHeight="1" thickBot="1">
      <c r="B119" s="204"/>
      <c r="C119" s="205"/>
      <c r="D119" s="204"/>
      <c r="E119" s="206"/>
      <c r="F119" s="206"/>
      <c r="G119" s="206"/>
      <c r="H119" s="206"/>
      <c r="I119" s="219"/>
      <c r="J119" s="219"/>
      <c r="K119" s="206"/>
      <c r="L119" s="205"/>
      <c r="M119" s="207"/>
    </row>
    <row r="120" spans="2:13" ht="15" customHeight="1" thickBot="1">
      <c r="B120" s="396" t="s">
        <v>243</v>
      </c>
      <c r="C120" s="409"/>
      <c r="D120" s="409"/>
      <c r="E120" s="409"/>
      <c r="F120" s="409"/>
      <c r="G120" s="409"/>
      <c r="H120" s="409"/>
      <c r="I120" s="409"/>
      <c r="J120" s="409"/>
      <c r="K120" s="409"/>
      <c r="L120" s="410"/>
      <c r="M120" s="208" t="s">
        <v>38</v>
      </c>
    </row>
    <row r="121" spans="2:13" ht="15" customHeight="1" thickBot="1">
      <c r="B121" s="411"/>
      <c r="C121" s="412"/>
      <c r="D121" s="412"/>
      <c r="E121" s="412"/>
      <c r="F121" s="412"/>
      <c r="G121" s="412"/>
      <c r="H121" s="412"/>
      <c r="I121" s="412"/>
      <c r="J121" s="412"/>
      <c r="K121" s="412"/>
      <c r="L121" s="413"/>
      <c r="M121" s="209" t="s">
        <v>42</v>
      </c>
    </row>
    <row r="122" spans="2:13" ht="21.75" customHeight="1" thickBot="1">
      <c r="B122" s="172">
        <f>B118+1</f>
        <v>46384</v>
      </c>
      <c r="C122" s="173" t="str">
        <f t="shared" ref="C122:C128" si="21">LEFT(TEXT(B122,"dddd"))</f>
        <v>M</v>
      </c>
      <c r="D122" s="174"/>
      <c r="E122" s="210"/>
      <c r="F122" s="176"/>
      <c r="G122" s="177"/>
      <c r="H122" s="222"/>
      <c r="I122" s="223"/>
      <c r="J122" s="220"/>
      <c r="K122" s="176"/>
      <c r="L122" s="178"/>
      <c r="M122" s="214">
        <f>IFERROR(AVERAGEIF(I122:I128,"&gt;"&amp;0,I122:I128),0)</f>
        <v>0</v>
      </c>
    </row>
    <row r="123" spans="2:13" ht="21.75" customHeight="1">
      <c r="B123" s="180">
        <f t="shared" ref="B123:B128" si="22">B122+1</f>
        <v>46385</v>
      </c>
      <c r="C123" s="181" t="str">
        <f t="shared" si="21"/>
        <v>T</v>
      </c>
      <c r="D123" s="182"/>
      <c r="E123" s="210"/>
      <c r="F123" s="184"/>
      <c r="G123" s="177"/>
      <c r="H123" s="224"/>
      <c r="I123" s="224"/>
      <c r="J123" s="184"/>
      <c r="K123" s="176"/>
      <c r="L123" s="185"/>
      <c r="M123" s="209" t="s">
        <v>39</v>
      </c>
    </row>
    <row r="124" spans="2:13" ht="21.75" customHeight="1" thickBot="1">
      <c r="B124" s="180">
        <f t="shared" si="22"/>
        <v>46386</v>
      </c>
      <c r="C124" s="181" t="str">
        <f t="shared" si="21"/>
        <v>W</v>
      </c>
      <c r="D124" s="182"/>
      <c r="E124" s="183"/>
      <c r="F124" s="184"/>
      <c r="G124" s="177"/>
      <c r="H124" s="224"/>
      <c r="I124" s="224"/>
      <c r="J124" s="184"/>
      <c r="K124" s="176"/>
      <c r="L124" s="185"/>
      <c r="M124" s="216">
        <f>IFERROR(AVERAGEIF(G122:G128,"&gt;"&amp;0,G122:G128),0)</f>
        <v>0</v>
      </c>
    </row>
    <row r="125" spans="2:13" ht="21.75" customHeight="1">
      <c r="B125" s="180">
        <f t="shared" si="22"/>
        <v>46387</v>
      </c>
      <c r="C125" s="181" t="str">
        <f t="shared" si="21"/>
        <v>T</v>
      </c>
      <c r="D125" s="182"/>
      <c r="E125" s="184"/>
      <c r="F125" s="184"/>
      <c r="G125" s="177"/>
      <c r="H125" s="224"/>
      <c r="I125" s="224"/>
      <c r="J125" s="184"/>
      <c r="K125" s="176"/>
      <c r="L125" s="185"/>
      <c r="M125" s="209" t="s">
        <v>40</v>
      </c>
    </row>
    <row r="126" spans="2:13" ht="21.75" customHeight="1" thickBot="1">
      <c r="B126" s="180">
        <f t="shared" si="22"/>
        <v>46388</v>
      </c>
      <c r="C126" s="181" t="str">
        <f t="shared" si="21"/>
        <v>F</v>
      </c>
      <c r="D126" s="182"/>
      <c r="E126" s="226"/>
      <c r="F126" s="184"/>
      <c r="G126" s="177"/>
      <c r="H126" s="224"/>
      <c r="I126" s="224"/>
      <c r="J126" s="184"/>
      <c r="K126" s="176"/>
      <c r="L126" s="185"/>
      <c r="M126" s="217">
        <f>IFERROR(AVERAGEIF(D122:D128,"&gt;"&amp;0,D122:D128),0)</f>
        <v>0</v>
      </c>
    </row>
    <row r="127" spans="2:13" ht="21.75" customHeight="1">
      <c r="B127" s="180">
        <f t="shared" si="22"/>
        <v>46389</v>
      </c>
      <c r="C127" s="181" t="str">
        <f t="shared" si="21"/>
        <v>S</v>
      </c>
      <c r="D127" s="182"/>
      <c r="E127" s="226"/>
      <c r="F127" s="184"/>
      <c r="G127" s="177"/>
      <c r="H127" s="224"/>
      <c r="I127" s="224"/>
      <c r="J127" s="184"/>
      <c r="K127" s="176"/>
      <c r="L127" s="211"/>
      <c r="M127" s="209" t="s">
        <v>41</v>
      </c>
    </row>
    <row r="128" spans="2:13" ht="21.75" customHeight="1">
      <c r="B128" s="188">
        <f t="shared" si="22"/>
        <v>46390</v>
      </c>
      <c r="C128" s="189" t="str">
        <f t="shared" si="21"/>
        <v>S</v>
      </c>
      <c r="D128" s="190"/>
      <c r="E128" s="192"/>
      <c r="F128" s="192"/>
      <c r="G128" s="193"/>
      <c r="H128" s="227"/>
      <c r="I128" s="227"/>
      <c r="J128" s="192"/>
      <c r="K128" s="192"/>
      <c r="L128" s="195"/>
      <c r="M128" s="196" t="e">
        <f>1-(M116/M126)</f>
        <v>#DIV/0!</v>
      </c>
    </row>
    <row r="129" spans="2:13" ht="15" customHeight="1" thickBot="1">
      <c r="B129" s="204"/>
      <c r="C129" s="205"/>
      <c r="D129" s="204"/>
      <c r="E129" s="206"/>
      <c r="F129" s="206"/>
      <c r="G129" s="206"/>
      <c r="H129" s="206"/>
      <c r="I129" s="219"/>
      <c r="J129" s="219"/>
      <c r="K129" s="206"/>
      <c r="L129" s="205"/>
      <c r="M129" s="207"/>
    </row>
    <row r="130" spans="2:13" ht="15" customHeight="1" thickBot="1">
      <c r="B130" s="396" t="s">
        <v>244</v>
      </c>
      <c r="C130" s="409"/>
      <c r="D130" s="409"/>
      <c r="E130" s="409"/>
      <c r="F130" s="409"/>
      <c r="G130" s="409"/>
      <c r="H130" s="409"/>
      <c r="I130" s="409"/>
      <c r="J130" s="409"/>
      <c r="K130" s="409"/>
      <c r="L130" s="410"/>
      <c r="M130" s="208" t="s">
        <v>38</v>
      </c>
    </row>
    <row r="131" spans="2:13" ht="15" customHeight="1" thickBot="1">
      <c r="B131" s="411"/>
      <c r="C131" s="412"/>
      <c r="D131" s="412"/>
      <c r="E131" s="412"/>
      <c r="F131" s="412"/>
      <c r="G131" s="412"/>
      <c r="H131" s="412"/>
      <c r="I131" s="412"/>
      <c r="J131" s="412"/>
      <c r="K131" s="412"/>
      <c r="L131" s="413"/>
      <c r="M131" s="209" t="s">
        <v>42</v>
      </c>
    </row>
    <row r="132" spans="2:13" ht="21.75" customHeight="1" thickBot="1">
      <c r="B132" s="172">
        <f>B128+1</f>
        <v>46391</v>
      </c>
      <c r="C132" s="173" t="str">
        <f t="shared" ref="C132:C138" si="23">LEFT(TEXT(B132,"dddd"))</f>
        <v>M</v>
      </c>
      <c r="D132" s="174"/>
      <c r="E132" s="210"/>
      <c r="F132" s="176"/>
      <c r="G132" s="177"/>
      <c r="H132" s="222"/>
      <c r="I132" s="223"/>
      <c r="J132" s="220"/>
      <c r="K132" s="176"/>
      <c r="L132" s="178"/>
      <c r="M132" s="214">
        <f>IFERROR(AVERAGEIF(I132:I138,"&gt;"&amp;0,I132:I138),0)</f>
        <v>0</v>
      </c>
    </row>
    <row r="133" spans="2:13" ht="21.75" customHeight="1">
      <c r="B133" s="180">
        <f t="shared" ref="B133:B138" si="24">B132+1</f>
        <v>46392</v>
      </c>
      <c r="C133" s="181" t="str">
        <f t="shared" si="23"/>
        <v>T</v>
      </c>
      <c r="D133" s="182"/>
      <c r="E133" s="210"/>
      <c r="F133" s="184"/>
      <c r="G133" s="177"/>
      <c r="H133" s="224"/>
      <c r="I133" s="224"/>
      <c r="J133" s="184"/>
      <c r="K133" s="176"/>
      <c r="L133" s="185"/>
      <c r="M133" s="209" t="s">
        <v>39</v>
      </c>
    </row>
    <row r="134" spans="2:13" ht="21.75" customHeight="1" thickBot="1">
      <c r="B134" s="180">
        <f t="shared" si="24"/>
        <v>46393</v>
      </c>
      <c r="C134" s="181" t="str">
        <f t="shared" si="23"/>
        <v>W</v>
      </c>
      <c r="D134" s="182"/>
      <c r="E134" s="183"/>
      <c r="F134" s="184"/>
      <c r="G134" s="177"/>
      <c r="H134" s="224"/>
      <c r="I134" s="224"/>
      <c r="J134" s="184"/>
      <c r="K134" s="176"/>
      <c r="L134" s="185"/>
      <c r="M134" s="216">
        <f>IFERROR(AVERAGEIF(G132:G138,"&gt;"&amp;0,G132:G138),0)</f>
        <v>0</v>
      </c>
    </row>
    <row r="135" spans="2:13" ht="21.75" customHeight="1">
      <c r="B135" s="180">
        <f t="shared" si="24"/>
        <v>46394</v>
      </c>
      <c r="C135" s="181" t="str">
        <f t="shared" si="23"/>
        <v>T</v>
      </c>
      <c r="D135" s="182"/>
      <c r="E135" s="184"/>
      <c r="F135" s="184"/>
      <c r="G135" s="177"/>
      <c r="H135" s="224"/>
      <c r="I135" s="224"/>
      <c r="J135" s="184"/>
      <c r="K135" s="176"/>
      <c r="L135" s="185"/>
      <c r="M135" s="209" t="s">
        <v>40</v>
      </c>
    </row>
    <row r="136" spans="2:13" ht="21.75" customHeight="1" thickBot="1">
      <c r="B136" s="180">
        <f t="shared" si="24"/>
        <v>46395</v>
      </c>
      <c r="C136" s="181" t="str">
        <f t="shared" si="23"/>
        <v>F</v>
      </c>
      <c r="D136" s="182"/>
      <c r="E136" s="226"/>
      <c r="F136" s="184"/>
      <c r="G136" s="177"/>
      <c r="H136" s="224"/>
      <c r="I136" s="224"/>
      <c r="J136" s="184"/>
      <c r="K136" s="176"/>
      <c r="L136" s="185"/>
      <c r="M136" s="217">
        <f>IFERROR(AVERAGEIF(D132:D138,"&gt;"&amp;0,D132:D138),0)</f>
        <v>0</v>
      </c>
    </row>
    <row r="137" spans="2:13" ht="21.75" customHeight="1">
      <c r="B137" s="180">
        <f t="shared" si="24"/>
        <v>46396</v>
      </c>
      <c r="C137" s="181" t="str">
        <f t="shared" si="23"/>
        <v>S</v>
      </c>
      <c r="D137" s="182"/>
      <c r="E137" s="226"/>
      <c r="F137" s="184"/>
      <c r="G137" s="177"/>
      <c r="H137" s="224"/>
      <c r="I137" s="224"/>
      <c r="J137" s="184"/>
      <c r="K137" s="176"/>
      <c r="L137" s="211"/>
      <c r="M137" s="209" t="s">
        <v>41</v>
      </c>
    </row>
    <row r="138" spans="2:13" ht="21.75" customHeight="1">
      <c r="B138" s="188">
        <f t="shared" si="24"/>
        <v>46397</v>
      </c>
      <c r="C138" s="189" t="str">
        <f t="shared" si="23"/>
        <v>S</v>
      </c>
      <c r="D138" s="190"/>
      <c r="E138" s="192"/>
      <c r="F138" s="192"/>
      <c r="G138" s="193"/>
      <c r="H138" s="227"/>
      <c r="I138" s="227"/>
      <c r="J138" s="192"/>
      <c r="K138" s="192"/>
      <c r="L138" s="195"/>
      <c r="M138" s="196" t="e">
        <f>1-(M126/M136)</f>
        <v>#DIV/0!</v>
      </c>
    </row>
  </sheetData>
  <mergeCells count="235">
    <mergeCell ref="Q13:R13"/>
    <mergeCell ref="S13:T13"/>
    <mergeCell ref="U13:V13"/>
    <mergeCell ref="Q14:R14"/>
    <mergeCell ref="S14:T14"/>
    <mergeCell ref="U14:V14"/>
    <mergeCell ref="B3:L6"/>
    <mergeCell ref="F7:K7"/>
    <mergeCell ref="B10:L11"/>
    <mergeCell ref="Q12:R12"/>
    <mergeCell ref="S12:T12"/>
    <mergeCell ref="U12:V12"/>
    <mergeCell ref="Q17:R17"/>
    <mergeCell ref="S17:T17"/>
    <mergeCell ref="U17:V17"/>
    <mergeCell ref="Q18:R18"/>
    <mergeCell ref="S18:T18"/>
    <mergeCell ref="U18:V18"/>
    <mergeCell ref="Q15:R15"/>
    <mergeCell ref="S15:T15"/>
    <mergeCell ref="U15:V15"/>
    <mergeCell ref="Q16:R16"/>
    <mergeCell ref="S16:T16"/>
    <mergeCell ref="U16:V16"/>
    <mergeCell ref="Q24:R24"/>
    <mergeCell ref="S24:T24"/>
    <mergeCell ref="U24:V24"/>
    <mergeCell ref="Q25:R25"/>
    <mergeCell ref="S25:T25"/>
    <mergeCell ref="U25:V25"/>
    <mergeCell ref="B20:L21"/>
    <mergeCell ref="Q22:R22"/>
    <mergeCell ref="S22:T22"/>
    <mergeCell ref="U22:V22"/>
    <mergeCell ref="Q23:R23"/>
    <mergeCell ref="S23:T23"/>
    <mergeCell ref="U23:V23"/>
    <mergeCell ref="Q26:R26"/>
    <mergeCell ref="S26:T26"/>
    <mergeCell ref="U26:V26"/>
    <mergeCell ref="O27:O28"/>
    <mergeCell ref="Q27:R27"/>
    <mergeCell ref="S27:T27"/>
    <mergeCell ref="U27:V27"/>
    <mergeCell ref="Q28:R28"/>
    <mergeCell ref="S28:T28"/>
    <mergeCell ref="U28:V28"/>
    <mergeCell ref="Q34:R34"/>
    <mergeCell ref="S34:T34"/>
    <mergeCell ref="U34:V34"/>
    <mergeCell ref="Q35:R35"/>
    <mergeCell ref="S35:T35"/>
    <mergeCell ref="U35:V35"/>
    <mergeCell ref="B30:L31"/>
    <mergeCell ref="Q32:R32"/>
    <mergeCell ref="S32:T32"/>
    <mergeCell ref="U32:V32"/>
    <mergeCell ref="Q33:R33"/>
    <mergeCell ref="S33:T33"/>
    <mergeCell ref="U33:V33"/>
    <mergeCell ref="B40:L41"/>
    <mergeCell ref="Q42:R42"/>
    <mergeCell ref="S42:T42"/>
    <mergeCell ref="U42:V42"/>
    <mergeCell ref="Q36:R36"/>
    <mergeCell ref="S36:T36"/>
    <mergeCell ref="U36:V36"/>
    <mergeCell ref="Q37:R37"/>
    <mergeCell ref="S37:T37"/>
    <mergeCell ref="U37:V37"/>
    <mergeCell ref="Q43:R43"/>
    <mergeCell ref="S43:T43"/>
    <mergeCell ref="U43:V43"/>
    <mergeCell ref="Q44:R44"/>
    <mergeCell ref="S44:T44"/>
    <mergeCell ref="U44:V44"/>
    <mergeCell ref="Q38:R38"/>
    <mergeCell ref="S38:T38"/>
    <mergeCell ref="U38:V38"/>
    <mergeCell ref="Q47:R47"/>
    <mergeCell ref="S47:T47"/>
    <mergeCell ref="U47:V47"/>
    <mergeCell ref="Q48:R48"/>
    <mergeCell ref="S48:T48"/>
    <mergeCell ref="U48:V48"/>
    <mergeCell ref="Q45:R45"/>
    <mergeCell ref="S45:T45"/>
    <mergeCell ref="U45:V45"/>
    <mergeCell ref="Q46:R46"/>
    <mergeCell ref="S46:T46"/>
    <mergeCell ref="U46:V46"/>
    <mergeCell ref="Q54:R54"/>
    <mergeCell ref="S54:T54"/>
    <mergeCell ref="U54:V54"/>
    <mergeCell ref="Q55:R55"/>
    <mergeCell ref="S55:T55"/>
    <mergeCell ref="U55:V55"/>
    <mergeCell ref="B50:L51"/>
    <mergeCell ref="Q52:R52"/>
    <mergeCell ref="S52:T52"/>
    <mergeCell ref="U52:V52"/>
    <mergeCell ref="Q53:R53"/>
    <mergeCell ref="S53:T53"/>
    <mergeCell ref="U53:V53"/>
    <mergeCell ref="B60:L61"/>
    <mergeCell ref="Q62:R62"/>
    <mergeCell ref="S62:T62"/>
    <mergeCell ref="U62:V62"/>
    <mergeCell ref="Q56:R56"/>
    <mergeCell ref="S56:T56"/>
    <mergeCell ref="U56:V56"/>
    <mergeCell ref="Q57:R57"/>
    <mergeCell ref="S57:T57"/>
    <mergeCell ref="U57:V57"/>
    <mergeCell ref="Q63:R63"/>
    <mergeCell ref="S63:T63"/>
    <mergeCell ref="U63:V63"/>
    <mergeCell ref="Q64:R64"/>
    <mergeCell ref="S64:T64"/>
    <mergeCell ref="U64:V64"/>
    <mergeCell ref="Q58:R58"/>
    <mergeCell ref="S58:T58"/>
    <mergeCell ref="U58:V58"/>
    <mergeCell ref="Q67:R67"/>
    <mergeCell ref="S67:T67"/>
    <mergeCell ref="U67:V67"/>
    <mergeCell ref="Q68:R68"/>
    <mergeCell ref="S68:T68"/>
    <mergeCell ref="U68:V68"/>
    <mergeCell ref="Q65:R65"/>
    <mergeCell ref="S65:T65"/>
    <mergeCell ref="U65:V65"/>
    <mergeCell ref="Q66:R66"/>
    <mergeCell ref="S66:T66"/>
    <mergeCell ref="U66:V66"/>
    <mergeCell ref="Q74:R74"/>
    <mergeCell ref="S74:T74"/>
    <mergeCell ref="U74:V74"/>
    <mergeCell ref="Q75:R75"/>
    <mergeCell ref="S75:T75"/>
    <mergeCell ref="U75:V75"/>
    <mergeCell ref="B70:L71"/>
    <mergeCell ref="Q72:R72"/>
    <mergeCell ref="S72:T72"/>
    <mergeCell ref="U72:V72"/>
    <mergeCell ref="Q73:R73"/>
    <mergeCell ref="S73:T73"/>
    <mergeCell ref="U73:V73"/>
    <mergeCell ref="Q78:R78"/>
    <mergeCell ref="S78:T78"/>
    <mergeCell ref="U78:V78"/>
    <mergeCell ref="B80:L81"/>
    <mergeCell ref="Q82:R82"/>
    <mergeCell ref="S82:T82"/>
    <mergeCell ref="U82:V82"/>
    <mergeCell ref="Q76:R76"/>
    <mergeCell ref="S76:T76"/>
    <mergeCell ref="U76:V76"/>
    <mergeCell ref="Q77:R77"/>
    <mergeCell ref="S77:T77"/>
    <mergeCell ref="U77:V77"/>
    <mergeCell ref="Q85:R85"/>
    <mergeCell ref="S85:T85"/>
    <mergeCell ref="U85:V85"/>
    <mergeCell ref="Q86:R86"/>
    <mergeCell ref="S86:T86"/>
    <mergeCell ref="U86:V86"/>
    <mergeCell ref="Q83:R83"/>
    <mergeCell ref="S83:T83"/>
    <mergeCell ref="U83:V83"/>
    <mergeCell ref="Q84:R84"/>
    <mergeCell ref="S84:T84"/>
    <mergeCell ref="U84:V84"/>
    <mergeCell ref="B90:L91"/>
    <mergeCell ref="Q92:R92"/>
    <mergeCell ref="S92:T92"/>
    <mergeCell ref="U92:V92"/>
    <mergeCell ref="Q93:R93"/>
    <mergeCell ref="S93:T93"/>
    <mergeCell ref="U93:V93"/>
    <mergeCell ref="Q87:R87"/>
    <mergeCell ref="S87:T87"/>
    <mergeCell ref="U87:V87"/>
    <mergeCell ref="Q88:R88"/>
    <mergeCell ref="S88:T88"/>
    <mergeCell ref="U88:V88"/>
    <mergeCell ref="Q96:R96"/>
    <mergeCell ref="S96:T96"/>
    <mergeCell ref="U96:V96"/>
    <mergeCell ref="Q97:R97"/>
    <mergeCell ref="S97:T97"/>
    <mergeCell ref="U97:V97"/>
    <mergeCell ref="Q94:R94"/>
    <mergeCell ref="S94:T94"/>
    <mergeCell ref="U94:V94"/>
    <mergeCell ref="Q95:R95"/>
    <mergeCell ref="S95:T95"/>
    <mergeCell ref="U95:V95"/>
    <mergeCell ref="T104:U104"/>
    <mergeCell ref="P101:Q101"/>
    <mergeCell ref="R101:S101"/>
    <mergeCell ref="T101:U101"/>
    <mergeCell ref="P102:Q102"/>
    <mergeCell ref="R102:S102"/>
    <mergeCell ref="T102:U102"/>
    <mergeCell ref="Q98:R98"/>
    <mergeCell ref="S98:T98"/>
    <mergeCell ref="U98:V98"/>
    <mergeCell ref="P100:Q100"/>
    <mergeCell ref="R100:S100"/>
    <mergeCell ref="T100:U100"/>
    <mergeCell ref="B130:L131"/>
    <mergeCell ref="P110:Q110"/>
    <mergeCell ref="R110:S110"/>
    <mergeCell ref="T110:U110"/>
    <mergeCell ref="B100:L101"/>
    <mergeCell ref="B110:L111"/>
    <mergeCell ref="B120:L121"/>
    <mergeCell ref="P108:Q108"/>
    <mergeCell ref="R108:S108"/>
    <mergeCell ref="T108:U108"/>
    <mergeCell ref="P109:Q109"/>
    <mergeCell ref="R109:S109"/>
    <mergeCell ref="T109:U109"/>
    <mergeCell ref="P105:Q105"/>
    <mergeCell ref="R105:S105"/>
    <mergeCell ref="T105:U105"/>
    <mergeCell ref="P106:Q106"/>
    <mergeCell ref="R106:S106"/>
    <mergeCell ref="T106:U106"/>
    <mergeCell ref="P103:Q103"/>
    <mergeCell ref="R103:S103"/>
    <mergeCell ref="T103:U103"/>
    <mergeCell ref="P104:Q104"/>
    <mergeCell ref="R104:S104"/>
  </mergeCells>
  <conditionalFormatting sqref="G12:G18">
    <cfRule type="cellIs" dxfId="67" priority="100" operator="greaterThan">
      <formula>9999</formula>
    </cfRule>
    <cfRule type="cellIs" dxfId="66" priority="99" operator="lessThan">
      <formula>10000</formula>
    </cfRule>
  </conditionalFormatting>
  <conditionalFormatting sqref="G22:G28">
    <cfRule type="cellIs" dxfId="65" priority="116" operator="greaterThan">
      <formula>9999</formula>
    </cfRule>
    <cfRule type="cellIs" dxfId="64" priority="115" operator="lessThan">
      <formula>10000</formula>
    </cfRule>
  </conditionalFormatting>
  <conditionalFormatting sqref="G32:G38">
    <cfRule type="cellIs" dxfId="63" priority="118" operator="greaterThan">
      <formula>10999</formula>
    </cfRule>
    <cfRule type="cellIs" dxfId="62" priority="117" operator="lessThan">
      <formula>11000</formula>
    </cfRule>
  </conditionalFormatting>
  <conditionalFormatting sqref="G42:G48">
    <cfRule type="cellIs" dxfId="61" priority="119" operator="lessThan">
      <formula>12000</formula>
    </cfRule>
    <cfRule type="cellIs" dxfId="60" priority="120" operator="greaterThan">
      <formula>11999</formula>
    </cfRule>
  </conditionalFormatting>
  <conditionalFormatting sqref="G52:G58">
    <cfRule type="cellIs" dxfId="59" priority="122" operator="greaterThan">
      <formula>12999</formula>
    </cfRule>
    <cfRule type="cellIs" dxfId="58" priority="121" operator="lessThan">
      <formula>13000</formula>
    </cfRule>
  </conditionalFormatting>
  <conditionalFormatting sqref="G62:G68">
    <cfRule type="cellIs" dxfId="57" priority="124" operator="greaterThan">
      <formula>13999</formula>
    </cfRule>
    <cfRule type="cellIs" dxfId="56" priority="123" operator="lessThan">
      <formula>14000</formula>
    </cfRule>
  </conditionalFormatting>
  <conditionalFormatting sqref="G72:G78 G102:G108 G112:G118 G122:G128 G132:G138">
    <cfRule type="cellIs" dxfId="55" priority="7" operator="lessThan">
      <formula>15000</formula>
    </cfRule>
    <cfRule type="cellIs" dxfId="54" priority="8" operator="greaterThan">
      <formula>14999</formula>
    </cfRule>
  </conditionalFormatting>
  <conditionalFormatting sqref="G82:G88">
    <cfRule type="cellIs" dxfId="53" priority="128" operator="greaterThan">
      <formula>15999</formula>
    </cfRule>
    <cfRule type="cellIs" dxfId="52" priority="127" operator="lessThan">
      <formula>16000</formula>
    </cfRule>
  </conditionalFormatting>
  <conditionalFormatting sqref="G92:G97">
    <cfRule type="cellIs" dxfId="51" priority="130" operator="greaterThan">
      <formula>16999</formula>
    </cfRule>
    <cfRule type="cellIs" dxfId="50" priority="129" operator="lessThan">
      <formula>17000</formula>
    </cfRule>
  </conditionalFormatting>
  <conditionalFormatting sqref="G98">
    <cfRule type="cellIs" dxfId="49" priority="87" operator="lessThan">
      <formula>16000</formula>
    </cfRule>
    <cfRule type="cellIs" dxfId="48" priority="88" operator="greaterThan">
      <formula>15999</formula>
    </cfRule>
  </conditionalFormatting>
  <conditionalFormatting sqref="G102:G107">
    <cfRule type="cellIs" dxfId="47" priority="77" operator="lessThan">
      <formula>17000</formula>
    </cfRule>
    <cfRule type="cellIs" dxfId="46" priority="78" operator="greaterThan">
      <formula>16999</formula>
    </cfRule>
  </conditionalFormatting>
  <conditionalFormatting sqref="G108">
    <cfRule type="cellIs" dxfId="45" priority="67" operator="lessThan">
      <formula>16000</formula>
    </cfRule>
    <cfRule type="cellIs" dxfId="44" priority="68" operator="greaterThan">
      <formula>15999</formula>
    </cfRule>
  </conditionalFormatting>
  <conditionalFormatting sqref="G112:G117">
    <cfRule type="cellIs" dxfId="43" priority="57" operator="lessThan">
      <formula>17000</formula>
    </cfRule>
    <cfRule type="cellIs" dxfId="42" priority="58" operator="greaterThan">
      <formula>16999</formula>
    </cfRule>
  </conditionalFormatting>
  <conditionalFormatting sqref="G118">
    <cfRule type="cellIs" dxfId="41" priority="47" operator="lessThan">
      <formula>16000</formula>
    </cfRule>
    <cfRule type="cellIs" dxfId="40" priority="48" operator="greaterThan">
      <formula>15999</formula>
    </cfRule>
  </conditionalFormatting>
  <conditionalFormatting sqref="G122:G127">
    <cfRule type="cellIs" dxfId="39" priority="37" operator="lessThan">
      <formula>17000</formula>
    </cfRule>
    <cfRule type="cellIs" dxfId="38" priority="38" operator="greaterThan">
      <formula>16999</formula>
    </cfRule>
  </conditionalFormatting>
  <conditionalFormatting sqref="G128">
    <cfRule type="cellIs" dxfId="37" priority="27" operator="lessThan">
      <formula>16000</formula>
    </cfRule>
    <cfRule type="cellIs" dxfId="36" priority="28" operator="greaterThan">
      <formula>15999</formula>
    </cfRule>
  </conditionalFormatting>
  <conditionalFormatting sqref="G132:G137">
    <cfRule type="cellIs" dxfId="35" priority="18" operator="greaterThan">
      <formula>16999</formula>
    </cfRule>
    <cfRule type="cellIs" dxfId="34" priority="17" operator="lessThan">
      <formula>17000</formula>
    </cfRule>
  </conditionalFormatting>
  <conditionalFormatting sqref="G138">
    <cfRule type="cellIs" dxfId="33" priority="126" operator="greaterThan">
      <formula>15999</formula>
    </cfRule>
    <cfRule type="cellIs" dxfId="32" priority="125" operator="lessThan">
      <formula>16000</formula>
    </cfRule>
  </conditionalFormatting>
  <conditionalFormatting sqref="K12:K18">
    <cfRule type="cellIs" dxfId="31" priority="102" operator="equal">
      <formula>"N"</formula>
    </cfRule>
    <cfRule type="cellIs" dxfId="30" priority="101" operator="equal">
      <formula>"Y"</formula>
    </cfRule>
    <cfRule type="cellIs" dxfId="29" priority="95" operator="equal">
      <formula>1</formula>
    </cfRule>
    <cfRule type="cellIs" dxfId="28" priority="96" operator="equal">
      <formula>2</formula>
    </cfRule>
  </conditionalFormatting>
  <conditionalFormatting sqref="K22:K28 K32:K38 K42:K48 K52:K58 K62:K68 K72:K78 K82:K88">
    <cfRule type="cellIs" dxfId="27" priority="132" operator="equal">
      <formula>"N"</formula>
    </cfRule>
    <cfRule type="cellIs" dxfId="26" priority="131" operator="equal">
      <formula>"Y"</formula>
    </cfRule>
  </conditionalFormatting>
  <conditionalFormatting sqref="K22:K28 K32:K38 K62:K68 K72:K78 K82:K88">
    <cfRule type="cellIs" dxfId="25" priority="104" operator="equal">
      <formula>2</formula>
    </cfRule>
    <cfRule type="cellIs" dxfId="24" priority="103" operator="equal">
      <formula>1</formula>
    </cfRule>
  </conditionalFormatting>
  <conditionalFormatting sqref="K42:K48">
    <cfRule type="cellIs" dxfId="23" priority="91" operator="equal">
      <formula>1</formula>
    </cfRule>
    <cfRule type="cellIs" dxfId="22" priority="92" operator="equal">
      <formula>2</formula>
    </cfRule>
  </conditionalFormatting>
  <conditionalFormatting sqref="K52:K58">
    <cfRule type="cellIs" dxfId="21" priority="94" operator="equal">
      <formula>2</formula>
    </cfRule>
    <cfRule type="cellIs" dxfId="20" priority="93" operator="equal">
      <formula>1</formula>
    </cfRule>
  </conditionalFormatting>
  <conditionalFormatting sqref="K92:K98">
    <cfRule type="cellIs" dxfId="19" priority="81" operator="equal">
      <formula>1</formula>
    </cfRule>
    <cfRule type="cellIs" dxfId="18" priority="90" operator="equal">
      <formula>"N"</formula>
    </cfRule>
    <cfRule type="cellIs" dxfId="17" priority="89" operator="equal">
      <formula>"Y"</formula>
    </cfRule>
    <cfRule type="cellIs" dxfId="16" priority="82" operator="equal">
      <formula>2</formula>
    </cfRule>
  </conditionalFormatting>
  <conditionalFormatting sqref="K102:K108">
    <cfRule type="cellIs" dxfId="15" priority="69" operator="equal">
      <formula>"Y"</formula>
    </cfRule>
    <cfRule type="cellIs" dxfId="14" priority="62" operator="equal">
      <formula>2</formula>
    </cfRule>
    <cfRule type="cellIs" dxfId="13" priority="61" operator="equal">
      <formula>1</formula>
    </cfRule>
    <cfRule type="cellIs" dxfId="12" priority="70" operator="equal">
      <formula>"N"</formula>
    </cfRule>
  </conditionalFormatting>
  <conditionalFormatting sqref="K112:K118">
    <cfRule type="cellIs" dxfId="11" priority="50" operator="equal">
      <formula>"N"</formula>
    </cfRule>
    <cfRule type="cellIs" dxfId="10" priority="49" operator="equal">
      <formula>"Y"</formula>
    </cfRule>
    <cfRule type="cellIs" dxfId="9" priority="41" operator="equal">
      <formula>1</formula>
    </cfRule>
    <cfRule type="cellIs" dxfId="8" priority="42" operator="equal">
      <formula>2</formula>
    </cfRule>
  </conditionalFormatting>
  <conditionalFormatting sqref="K122:K128">
    <cfRule type="cellIs" dxfId="7" priority="30" operator="equal">
      <formula>"N"</formula>
    </cfRule>
    <cfRule type="cellIs" dxfId="6" priority="29" operator="equal">
      <formula>"Y"</formula>
    </cfRule>
    <cfRule type="cellIs" dxfId="5" priority="21" operator="equal">
      <formula>1</formula>
    </cfRule>
    <cfRule type="cellIs" dxfId="4" priority="22" operator="equal">
      <formula>2</formula>
    </cfRule>
  </conditionalFormatting>
  <conditionalFormatting sqref="K132:K138">
    <cfRule type="cellIs" dxfId="3" priority="10" operator="equal">
      <formula>"N"</formula>
    </cfRule>
    <cfRule type="cellIs" dxfId="2" priority="1" operator="equal">
      <formula>1</formula>
    </cfRule>
    <cfRule type="cellIs" dxfId="1" priority="9" operator="equal">
      <formula>"Y"</formula>
    </cfRule>
    <cfRule type="cellIs" dxfId="0" priority="2" operator="equal">
      <formula>2</formula>
    </cfRule>
  </conditionalFormatting>
  <dataValidations count="2">
    <dataValidation type="list" allowBlank="1" showErrorMessage="1" sqref="F22 F12" xr:uid="{00000000-0002-0000-0200-000000000000}">
      <formula1>$X$24:$X$27</formula1>
    </dataValidation>
    <dataValidation type="list" allowBlank="1" showErrorMessage="1" sqref="F23:F28 F132:F138 F122:F128 F112:F118 F102:F108 F92:F98 F82:F88 F72:F78 F62:F68 F52:F58 F42:F48 F32:F38 F13:F18" xr:uid="{00000000-0002-0000-0200-000001000000}">
      <formula1>$X$23:$X$27</formula1>
    </dataValidation>
  </dataValidations>
  <pageMargins left="0.7" right="0.7" top="0.75" bottom="0.75" header="0.3" footer="0.3"/>
  <pageSetup paperSize="9" scale="43" orientation="portrait" r:id="rId1"/>
  <rowBreaks count="1" manualBreakCount="1">
    <brk id="58" max="16383" man="1"/>
  </rowBreaks>
  <colBreaks count="1" manualBreakCount="1">
    <brk id="14" max="97"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94"/>
  <sheetViews>
    <sheetView topLeftCell="A28" zoomScaleNormal="100" workbookViewId="0">
      <selection activeCell="F7" sqref="F7"/>
    </sheetView>
  </sheetViews>
  <sheetFormatPr defaultColWidth="12.625" defaultRowHeight="15" customHeight="1"/>
  <cols>
    <col min="1" max="1" width="2.375" style="70" customWidth="1"/>
    <col min="2" max="2" width="13.125" style="70" customWidth="1"/>
    <col min="3" max="3" width="33.625" style="70" customWidth="1"/>
    <col min="4" max="4" width="37.625" style="70" customWidth="1"/>
    <col min="5" max="5" width="5.625" style="70" customWidth="1"/>
    <col min="6" max="6" width="6.125" style="70" customWidth="1"/>
    <col min="7" max="7" width="9.375" style="70" customWidth="1"/>
    <col min="8" max="15" width="15.375" style="70" customWidth="1"/>
    <col min="16" max="16" width="2.25" style="70" customWidth="1"/>
    <col min="17" max="24" width="7.625" style="70" customWidth="1"/>
    <col min="25" max="16384" width="12.625" style="70"/>
  </cols>
  <sheetData>
    <row r="1" spans="1:24" ht="14.25" customHeight="1">
      <c r="A1" s="140"/>
      <c r="B1" s="140"/>
      <c r="C1" s="140"/>
      <c r="D1" s="140"/>
      <c r="E1" s="140"/>
      <c r="F1" s="140"/>
      <c r="G1" s="140"/>
      <c r="H1" s="140"/>
      <c r="I1" s="140"/>
      <c r="J1" s="140"/>
      <c r="K1" s="140"/>
      <c r="L1" s="140"/>
      <c r="M1" s="140"/>
      <c r="N1" s="140"/>
      <c r="O1" s="140"/>
      <c r="P1" s="140"/>
      <c r="Q1" s="140"/>
      <c r="R1" s="140"/>
      <c r="S1" s="140"/>
      <c r="T1" s="140"/>
      <c r="U1" s="140"/>
      <c r="V1" s="140"/>
      <c r="W1" s="140"/>
      <c r="X1" s="140"/>
    </row>
    <row r="2" spans="1:24" ht="14.25" customHeight="1">
      <c r="A2" s="140"/>
      <c r="B2" s="140"/>
      <c r="C2" s="140"/>
      <c r="D2" s="140"/>
      <c r="E2" s="140"/>
      <c r="F2" s="141"/>
      <c r="G2" s="140"/>
      <c r="H2" s="140"/>
      <c r="I2" s="140"/>
      <c r="J2" s="140"/>
      <c r="K2" s="140"/>
      <c r="L2" s="140"/>
      <c r="M2" s="140"/>
      <c r="N2" s="140"/>
      <c r="O2" s="140"/>
      <c r="P2" s="140"/>
      <c r="Q2" s="140"/>
      <c r="R2" s="140"/>
      <c r="S2" s="140"/>
      <c r="T2" s="140"/>
      <c r="U2" s="140"/>
      <c r="V2" s="140"/>
      <c r="W2" s="140"/>
      <c r="X2" s="140"/>
    </row>
    <row r="3" spans="1:24" ht="14.25" customHeight="1">
      <c r="A3" s="140"/>
      <c r="B3" s="142"/>
      <c r="C3" s="143"/>
      <c r="D3" s="143"/>
      <c r="E3" s="144"/>
      <c r="F3" s="145"/>
      <c r="G3" s="140"/>
      <c r="H3" s="146"/>
      <c r="I3" s="140"/>
      <c r="J3" s="140"/>
      <c r="K3" s="140"/>
      <c r="L3" s="140"/>
      <c r="M3" s="140"/>
      <c r="N3" s="140"/>
      <c r="O3" s="140"/>
      <c r="P3" s="140"/>
      <c r="Q3" s="140"/>
      <c r="R3" s="140"/>
      <c r="S3" s="140"/>
      <c r="T3" s="140"/>
      <c r="U3" s="140"/>
      <c r="V3" s="140"/>
      <c r="W3" s="140"/>
      <c r="X3" s="140"/>
    </row>
    <row r="4" spans="1:24" ht="14.25" customHeight="1">
      <c r="A4" s="140"/>
      <c r="B4" s="430" t="s">
        <v>68</v>
      </c>
      <c r="C4" s="430"/>
      <c r="D4" s="430"/>
      <c r="E4" s="144"/>
      <c r="F4" s="145"/>
      <c r="G4" s="147"/>
      <c r="H4" s="147"/>
      <c r="I4" s="147"/>
      <c r="J4" s="147"/>
      <c r="K4" s="147"/>
      <c r="L4" s="140"/>
      <c r="M4" s="140"/>
      <c r="N4" s="140"/>
      <c r="O4" s="140"/>
      <c r="P4" s="140"/>
      <c r="Q4" s="140"/>
      <c r="R4" s="140"/>
      <c r="S4" s="140"/>
      <c r="T4" s="140"/>
      <c r="U4" s="140"/>
      <c r="V4" s="140"/>
      <c r="W4" s="140"/>
      <c r="X4" s="140"/>
    </row>
    <row r="5" spans="1:24" ht="14.25" customHeight="1">
      <c r="A5" s="140"/>
      <c r="B5" s="430"/>
      <c r="C5" s="430"/>
      <c r="D5" s="430"/>
      <c r="E5" s="144"/>
      <c r="F5" s="140"/>
      <c r="G5" s="147"/>
      <c r="H5" s="147"/>
      <c r="I5" s="147"/>
      <c r="J5" s="147"/>
      <c r="K5" s="147"/>
      <c r="L5" s="140"/>
      <c r="M5" s="140"/>
      <c r="N5" s="140"/>
      <c r="O5" s="140"/>
      <c r="P5" s="140"/>
      <c r="Q5" s="140"/>
      <c r="R5" s="140"/>
      <c r="S5" s="140"/>
      <c r="T5" s="140"/>
      <c r="U5" s="140"/>
      <c r="V5" s="140"/>
      <c r="W5" s="140"/>
      <c r="X5" s="140"/>
    </row>
    <row r="6" spans="1:24" ht="14.25" customHeight="1">
      <c r="A6" s="140"/>
      <c r="B6" s="430"/>
      <c r="C6" s="430"/>
      <c r="D6" s="430"/>
      <c r="E6" s="144"/>
      <c r="F6" s="140"/>
      <c r="G6" s="147"/>
      <c r="H6" s="147"/>
      <c r="I6" s="147"/>
      <c r="J6" s="147"/>
      <c r="K6" s="147"/>
      <c r="L6" s="140"/>
      <c r="M6" s="140"/>
      <c r="N6" s="140"/>
      <c r="O6" s="140"/>
      <c r="P6" s="140"/>
      <c r="Q6" s="140"/>
      <c r="R6" s="140"/>
      <c r="S6" s="140"/>
      <c r="T6" s="140"/>
      <c r="U6" s="140"/>
      <c r="V6" s="140"/>
      <c r="W6" s="140"/>
      <c r="X6" s="140"/>
    </row>
    <row r="7" spans="1:24" ht="14.25" customHeight="1">
      <c r="A7" s="140"/>
      <c r="B7" s="148"/>
      <c r="C7" s="140"/>
      <c r="D7" s="140"/>
      <c r="E7" s="140"/>
      <c r="F7" s="140"/>
      <c r="G7" s="147"/>
      <c r="H7" s="147"/>
      <c r="I7" s="147"/>
      <c r="J7" s="147"/>
      <c r="K7" s="140"/>
      <c r="L7" s="140"/>
      <c r="M7" s="140"/>
      <c r="N7" s="140"/>
      <c r="O7" s="140"/>
      <c r="P7" s="140"/>
      <c r="Q7" s="140"/>
      <c r="R7" s="140"/>
      <c r="S7" s="140"/>
      <c r="T7" s="140"/>
      <c r="U7" s="140"/>
      <c r="V7" s="140"/>
      <c r="W7" s="140"/>
      <c r="X7" s="140"/>
    </row>
    <row r="8" spans="1:24" ht="14.25" customHeight="1">
      <c r="A8" s="140"/>
      <c r="B8" s="148"/>
      <c r="C8" s="140"/>
      <c r="D8" s="140"/>
      <c r="E8" s="140"/>
      <c r="F8" s="140"/>
      <c r="G8" s="147"/>
      <c r="H8" s="147"/>
      <c r="I8" s="147"/>
      <c r="J8" s="147"/>
      <c r="K8" s="140"/>
      <c r="L8" s="140"/>
      <c r="M8" s="140"/>
      <c r="N8" s="140"/>
      <c r="O8" s="140"/>
      <c r="P8" s="140"/>
      <c r="Q8" s="140"/>
      <c r="R8" s="140"/>
      <c r="S8" s="140"/>
      <c r="T8" s="140"/>
      <c r="U8" s="140"/>
      <c r="V8" s="140"/>
      <c r="W8" s="140"/>
      <c r="X8" s="140"/>
    </row>
    <row r="9" spans="1:24" ht="14.25" customHeight="1">
      <c r="A9" s="140"/>
      <c r="B9" s="149"/>
      <c r="C9" s="149"/>
      <c r="D9" s="149"/>
      <c r="E9" s="149"/>
      <c r="F9" s="140"/>
      <c r="G9" s="147"/>
      <c r="H9" s="147"/>
      <c r="I9" s="147"/>
      <c r="J9" s="147"/>
      <c r="K9" s="140"/>
      <c r="L9" s="140"/>
      <c r="M9" s="140"/>
      <c r="N9" s="140"/>
      <c r="O9" s="140"/>
      <c r="P9" s="140"/>
      <c r="Q9" s="140"/>
      <c r="R9" s="140"/>
      <c r="S9" s="140"/>
      <c r="T9" s="140"/>
      <c r="U9" s="140"/>
      <c r="V9" s="140"/>
      <c r="W9" s="140"/>
      <c r="X9" s="140"/>
    </row>
    <row r="10" spans="1:24" ht="14.25" customHeight="1">
      <c r="A10" s="150"/>
      <c r="B10" s="431" t="s">
        <v>67</v>
      </c>
      <c r="C10" s="432"/>
      <c r="D10" s="228"/>
      <c r="E10" s="228"/>
      <c r="F10" s="228"/>
      <c r="G10" s="228"/>
      <c r="H10" s="228"/>
      <c r="I10" s="228"/>
      <c r="J10" s="228"/>
      <c r="K10" s="228"/>
      <c r="L10" s="228"/>
      <c r="M10" s="424"/>
      <c r="N10" s="425"/>
      <c r="O10" s="228"/>
      <c r="P10" s="79"/>
      <c r="Q10" s="140"/>
      <c r="R10" s="140"/>
      <c r="S10" s="140"/>
      <c r="T10" s="140"/>
      <c r="U10" s="140"/>
      <c r="V10" s="140"/>
      <c r="W10" s="140"/>
      <c r="X10" s="140"/>
    </row>
    <row r="11" spans="1:24" ht="14.25" customHeight="1">
      <c r="A11" s="150"/>
      <c r="B11" s="229" t="s">
        <v>44</v>
      </c>
      <c r="C11" s="230" t="s">
        <v>45</v>
      </c>
      <c r="D11" s="229" t="s">
        <v>71</v>
      </c>
      <c r="E11" s="229" t="s">
        <v>46</v>
      </c>
      <c r="F11" s="229" t="s">
        <v>107</v>
      </c>
      <c r="G11" s="229" t="s">
        <v>47</v>
      </c>
      <c r="H11" s="229" t="s">
        <v>192</v>
      </c>
      <c r="I11" s="229" t="s">
        <v>193</v>
      </c>
      <c r="J11" s="229" t="s">
        <v>194</v>
      </c>
      <c r="K11" s="229" t="s">
        <v>195</v>
      </c>
      <c r="L11" s="229" t="s">
        <v>196</v>
      </c>
      <c r="M11" s="229" t="s">
        <v>197</v>
      </c>
      <c r="N11" s="229" t="s">
        <v>198</v>
      </c>
      <c r="O11" s="229" t="s">
        <v>199</v>
      </c>
      <c r="P11" s="147"/>
      <c r="Q11" s="140"/>
      <c r="R11" s="140"/>
      <c r="S11" s="140"/>
      <c r="T11" s="140"/>
      <c r="U11" s="140"/>
      <c r="V11" s="140"/>
      <c r="W11" s="140"/>
      <c r="X11" s="140"/>
    </row>
    <row r="12" spans="1:24" ht="15" customHeight="1">
      <c r="A12" s="150"/>
      <c r="B12" s="231" t="s">
        <v>83</v>
      </c>
      <c r="C12" s="232" t="s">
        <v>70</v>
      </c>
      <c r="D12" s="426" t="s">
        <v>122</v>
      </c>
      <c r="E12" s="233">
        <v>1</v>
      </c>
      <c r="F12" s="233">
        <v>8</v>
      </c>
      <c r="G12" s="233">
        <v>90</v>
      </c>
      <c r="H12" s="234" t="s">
        <v>189</v>
      </c>
      <c r="I12" s="234"/>
      <c r="J12" s="234"/>
      <c r="K12" s="234"/>
      <c r="L12" s="234"/>
      <c r="M12" s="234"/>
      <c r="N12" s="234"/>
      <c r="O12" s="234"/>
      <c r="P12" s="151"/>
      <c r="Q12" s="140"/>
      <c r="R12" s="140"/>
      <c r="S12" s="140"/>
      <c r="T12" s="140"/>
      <c r="U12" s="140"/>
      <c r="V12" s="140"/>
      <c r="W12" s="140"/>
      <c r="X12" s="140"/>
    </row>
    <row r="13" spans="1:24" ht="15" customHeight="1">
      <c r="A13" s="150"/>
      <c r="B13" s="235" t="s">
        <v>83</v>
      </c>
      <c r="C13" s="236" t="s">
        <v>70</v>
      </c>
      <c r="D13" s="427"/>
      <c r="E13" s="235">
        <v>1</v>
      </c>
      <c r="F13" s="235">
        <v>6</v>
      </c>
      <c r="G13" s="235">
        <v>90</v>
      </c>
      <c r="H13" s="238" t="s">
        <v>190</v>
      </c>
      <c r="I13" s="238"/>
      <c r="J13" s="238"/>
      <c r="K13" s="238"/>
      <c r="L13" s="238"/>
      <c r="M13" s="238"/>
      <c r="N13" s="238"/>
      <c r="O13" s="238"/>
      <c r="P13" s="140"/>
      <c r="Q13" s="140"/>
      <c r="R13" s="140"/>
      <c r="S13" s="140"/>
      <c r="T13" s="140"/>
      <c r="U13" s="140"/>
      <c r="V13" s="140"/>
      <c r="W13" s="140"/>
      <c r="X13" s="140"/>
    </row>
    <row r="14" spans="1:24" ht="15" customHeight="1">
      <c r="A14" s="150"/>
      <c r="B14" s="239" t="s">
        <v>83</v>
      </c>
      <c r="C14" s="236" t="s">
        <v>70</v>
      </c>
      <c r="D14" s="427"/>
      <c r="E14" s="235">
        <v>1</v>
      </c>
      <c r="F14" s="235">
        <v>4</v>
      </c>
      <c r="G14" s="235">
        <v>90</v>
      </c>
      <c r="H14" s="238"/>
      <c r="I14" s="238"/>
      <c r="J14" s="238"/>
      <c r="K14" s="238"/>
      <c r="L14" s="238"/>
      <c r="M14" s="238"/>
      <c r="N14" s="238"/>
      <c r="O14" s="238"/>
      <c r="P14" s="145"/>
      <c r="Q14" s="140"/>
      <c r="R14" s="140"/>
      <c r="S14" s="140"/>
      <c r="T14" s="140"/>
      <c r="U14" s="140"/>
      <c r="V14" s="140"/>
      <c r="W14" s="140"/>
      <c r="X14" s="140"/>
    </row>
    <row r="15" spans="1:24" ht="15" customHeight="1">
      <c r="A15" s="152"/>
      <c r="B15" s="240" t="s">
        <v>83</v>
      </c>
      <c r="C15" s="236" t="s">
        <v>70</v>
      </c>
      <c r="D15" s="427"/>
      <c r="E15" s="241">
        <v>1</v>
      </c>
      <c r="F15" s="241">
        <v>2</v>
      </c>
      <c r="G15" s="241">
        <v>90</v>
      </c>
      <c r="H15" s="242"/>
      <c r="I15" s="242"/>
      <c r="J15" s="242"/>
      <c r="K15" s="242"/>
      <c r="L15" s="242"/>
      <c r="M15" s="242"/>
      <c r="N15" s="242"/>
      <c r="O15" s="242"/>
      <c r="P15" s="155"/>
      <c r="Q15" s="152"/>
      <c r="R15" s="152"/>
      <c r="S15" s="152"/>
      <c r="T15" s="152"/>
      <c r="U15" s="152"/>
      <c r="V15" s="152"/>
      <c r="W15" s="152"/>
      <c r="X15" s="152"/>
    </row>
    <row r="16" spans="1:24" ht="15" customHeight="1">
      <c r="A16" s="152"/>
      <c r="B16" s="240"/>
      <c r="C16" s="240"/>
      <c r="D16" s="427"/>
      <c r="E16" s="241"/>
      <c r="F16" s="241"/>
      <c r="G16" s="241"/>
      <c r="H16" s="242"/>
      <c r="I16" s="242"/>
      <c r="J16" s="242"/>
      <c r="K16" s="242"/>
      <c r="L16" s="242"/>
      <c r="M16" s="242"/>
      <c r="N16" s="242"/>
      <c r="O16" s="242"/>
      <c r="P16" s="155"/>
      <c r="Q16" s="152"/>
      <c r="R16" s="152"/>
      <c r="S16" s="152"/>
      <c r="T16" s="152"/>
      <c r="U16" s="152"/>
      <c r="V16" s="152"/>
      <c r="W16" s="152"/>
      <c r="X16" s="152"/>
    </row>
    <row r="17" spans="1:24" ht="15" customHeight="1">
      <c r="A17" s="150"/>
      <c r="B17" s="239" t="s">
        <v>82</v>
      </c>
      <c r="C17" s="243" t="s">
        <v>72</v>
      </c>
      <c r="D17" s="427"/>
      <c r="E17" s="235">
        <v>1</v>
      </c>
      <c r="F17" s="235">
        <v>9</v>
      </c>
      <c r="G17" s="235">
        <v>90</v>
      </c>
      <c r="H17" s="238" t="s">
        <v>250</v>
      </c>
      <c r="I17" s="238"/>
      <c r="J17" s="238"/>
      <c r="K17" s="238"/>
      <c r="L17" s="238"/>
      <c r="M17" s="238"/>
      <c r="N17" s="238"/>
      <c r="O17" s="238"/>
      <c r="P17" s="151"/>
      <c r="Q17" s="140"/>
      <c r="R17" s="140"/>
      <c r="S17" s="140"/>
      <c r="T17" s="140"/>
      <c r="U17" s="140"/>
      <c r="V17" s="140"/>
      <c r="W17" s="140"/>
      <c r="X17" s="140"/>
    </row>
    <row r="18" spans="1:24" ht="15" customHeight="1">
      <c r="A18" s="150"/>
      <c r="B18" s="241" t="s">
        <v>82</v>
      </c>
      <c r="C18" s="243" t="s">
        <v>72</v>
      </c>
      <c r="D18" s="427"/>
      <c r="E18" s="235">
        <v>1</v>
      </c>
      <c r="F18" s="235">
        <v>6</v>
      </c>
      <c r="G18" s="235">
        <v>90</v>
      </c>
      <c r="H18" s="238" t="s">
        <v>251</v>
      </c>
      <c r="I18" s="238"/>
      <c r="J18" s="238"/>
      <c r="K18" s="238"/>
      <c r="L18" s="238"/>
      <c r="M18" s="238"/>
      <c r="N18" s="238"/>
      <c r="O18" s="238"/>
      <c r="P18" s="145"/>
      <c r="Q18" s="140"/>
      <c r="R18" s="140"/>
      <c r="S18" s="140"/>
      <c r="T18" s="140"/>
      <c r="U18" s="140"/>
      <c r="V18" s="140"/>
      <c r="W18" s="140"/>
      <c r="X18" s="140"/>
    </row>
    <row r="19" spans="1:24" ht="15" customHeight="1">
      <c r="A19" s="152"/>
      <c r="B19" s="241" t="s">
        <v>82</v>
      </c>
      <c r="C19" s="243" t="s">
        <v>72</v>
      </c>
      <c r="D19" s="427"/>
      <c r="E19" s="241">
        <v>2</v>
      </c>
      <c r="F19" s="241">
        <v>4</v>
      </c>
      <c r="G19" s="241">
        <v>90</v>
      </c>
      <c r="H19" s="242" t="s">
        <v>252</v>
      </c>
      <c r="I19" s="242"/>
      <c r="J19" s="242"/>
      <c r="K19" s="242"/>
      <c r="L19" s="242"/>
      <c r="M19" s="242"/>
      <c r="N19" s="242"/>
      <c r="O19" s="242"/>
      <c r="P19" s="155"/>
      <c r="Q19" s="152"/>
      <c r="R19" s="152"/>
      <c r="S19" s="152"/>
      <c r="T19" s="152"/>
      <c r="U19" s="152"/>
      <c r="V19" s="152"/>
      <c r="W19" s="152"/>
      <c r="X19" s="152"/>
    </row>
    <row r="20" spans="1:24" ht="15" customHeight="1">
      <c r="A20" s="152"/>
      <c r="B20" s="241" t="s">
        <v>82</v>
      </c>
      <c r="C20" s="243" t="s">
        <v>72</v>
      </c>
      <c r="D20" s="427"/>
      <c r="E20" s="241">
        <v>1</v>
      </c>
      <c r="F20" s="241">
        <v>15</v>
      </c>
      <c r="G20" s="241">
        <v>90</v>
      </c>
      <c r="H20" s="242" t="s">
        <v>253</v>
      </c>
      <c r="I20" s="242"/>
      <c r="J20" s="242"/>
      <c r="K20" s="242"/>
      <c r="L20" s="242"/>
      <c r="M20" s="242"/>
      <c r="N20" s="242"/>
      <c r="O20" s="242"/>
      <c r="P20" s="155"/>
      <c r="Q20" s="152"/>
      <c r="R20" s="152"/>
      <c r="S20" s="152"/>
      <c r="T20" s="152"/>
      <c r="U20" s="152"/>
      <c r="V20" s="152"/>
      <c r="W20" s="152"/>
      <c r="X20" s="152"/>
    </row>
    <row r="21" spans="1:24" ht="15" customHeight="1">
      <c r="A21" s="150"/>
      <c r="B21" s="235"/>
      <c r="C21" s="235"/>
      <c r="D21" s="427"/>
      <c r="E21" s="235"/>
      <c r="F21" s="235"/>
      <c r="G21" s="235"/>
      <c r="H21" s="238"/>
      <c r="I21" s="238"/>
      <c r="J21" s="238"/>
      <c r="K21" s="238"/>
      <c r="L21" s="238"/>
      <c r="M21" s="238"/>
      <c r="N21" s="238"/>
      <c r="O21" s="238"/>
      <c r="P21" s="140"/>
      <c r="Q21" s="140"/>
      <c r="R21" s="140"/>
      <c r="S21" s="140"/>
      <c r="T21" s="140"/>
      <c r="U21" s="140"/>
      <c r="V21" s="140"/>
      <c r="W21" s="140"/>
      <c r="X21" s="140"/>
    </row>
    <row r="22" spans="1:24" ht="15" customHeight="1">
      <c r="A22" s="150"/>
      <c r="B22" s="235" t="s">
        <v>84</v>
      </c>
      <c r="C22" s="243" t="s">
        <v>61</v>
      </c>
      <c r="D22" s="427"/>
      <c r="E22" s="235">
        <v>1</v>
      </c>
      <c r="F22" s="235">
        <v>8</v>
      </c>
      <c r="G22" s="235">
        <v>60</v>
      </c>
      <c r="H22" s="238" t="s">
        <v>254</v>
      </c>
      <c r="I22" s="238"/>
      <c r="J22" s="238"/>
      <c r="K22" s="238"/>
      <c r="L22" s="238"/>
      <c r="M22" s="238"/>
      <c r="N22" s="238"/>
      <c r="O22" s="238"/>
      <c r="P22" s="145"/>
      <c r="Q22" s="140"/>
      <c r="R22" s="140"/>
      <c r="S22" s="140"/>
      <c r="T22" s="140"/>
      <c r="U22" s="140"/>
      <c r="V22" s="140"/>
      <c r="W22" s="140"/>
      <c r="X22" s="140"/>
    </row>
    <row r="23" spans="1:24" ht="15" customHeight="1">
      <c r="A23" s="150"/>
      <c r="B23" s="235" t="s">
        <v>84</v>
      </c>
      <c r="C23" s="243" t="s">
        <v>61</v>
      </c>
      <c r="D23" s="427"/>
      <c r="E23" s="235">
        <v>1</v>
      </c>
      <c r="F23" s="235">
        <v>5</v>
      </c>
      <c r="G23" s="235">
        <v>60</v>
      </c>
      <c r="H23" s="238" t="s">
        <v>255</v>
      </c>
      <c r="I23" s="238"/>
      <c r="J23" s="238"/>
      <c r="K23" s="238"/>
      <c r="L23" s="238"/>
      <c r="M23" s="238"/>
      <c r="N23" s="238"/>
      <c r="O23" s="238"/>
      <c r="P23" s="151"/>
      <c r="Q23" s="140"/>
      <c r="R23" s="140"/>
      <c r="S23" s="140"/>
      <c r="T23" s="140"/>
      <c r="U23" s="140"/>
      <c r="V23" s="140"/>
      <c r="W23" s="140"/>
      <c r="X23" s="140"/>
    </row>
    <row r="24" spans="1:24" ht="15" customHeight="1">
      <c r="A24" s="152"/>
      <c r="B24" s="241" t="s">
        <v>84</v>
      </c>
      <c r="C24" s="243" t="s">
        <v>61</v>
      </c>
      <c r="D24" s="427"/>
      <c r="E24" s="241">
        <v>2</v>
      </c>
      <c r="F24" s="241">
        <v>3</v>
      </c>
      <c r="G24" s="241">
        <v>60</v>
      </c>
      <c r="H24" s="242" t="s">
        <v>256</v>
      </c>
      <c r="I24" s="242"/>
      <c r="J24" s="242"/>
      <c r="K24" s="242"/>
      <c r="L24" s="242"/>
      <c r="M24" s="242"/>
      <c r="N24" s="242"/>
      <c r="O24" s="242"/>
      <c r="P24" s="156"/>
      <c r="Q24" s="152"/>
      <c r="R24" s="152"/>
      <c r="S24" s="152"/>
      <c r="T24" s="152"/>
      <c r="U24" s="152"/>
      <c r="V24" s="152"/>
      <c r="W24" s="152"/>
      <c r="X24" s="152"/>
    </row>
    <row r="25" spans="1:24" ht="15" customHeight="1">
      <c r="A25" s="150"/>
      <c r="B25" s="239"/>
      <c r="C25" s="239"/>
      <c r="D25" s="235"/>
      <c r="E25" s="235"/>
      <c r="F25" s="235"/>
      <c r="G25" s="235"/>
      <c r="H25" s="238"/>
      <c r="I25" s="238"/>
      <c r="J25" s="238"/>
      <c r="K25" s="238"/>
      <c r="L25" s="238"/>
      <c r="M25" s="238"/>
      <c r="N25" s="238"/>
      <c r="O25" s="238"/>
      <c r="P25" s="145"/>
      <c r="Q25" s="140"/>
      <c r="R25" s="140"/>
      <c r="S25" s="140"/>
      <c r="T25" s="140"/>
      <c r="U25" s="140"/>
      <c r="V25" s="140"/>
      <c r="W25" s="140"/>
      <c r="X25" s="140"/>
    </row>
    <row r="26" spans="1:24" ht="15" customHeight="1">
      <c r="A26" s="150"/>
      <c r="B26" s="239" t="s">
        <v>52</v>
      </c>
      <c r="C26" s="244" t="s">
        <v>101</v>
      </c>
      <c r="D26" s="235" t="s">
        <v>76</v>
      </c>
      <c r="E26" s="235">
        <v>3</v>
      </c>
      <c r="F26" s="235">
        <v>15</v>
      </c>
      <c r="G26" s="235">
        <v>60</v>
      </c>
      <c r="H26" s="238" t="s">
        <v>257</v>
      </c>
      <c r="I26" s="238"/>
      <c r="J26" s="238"/>
      <c r="K26" s="238"/>
      <c r="L26" s="238"/>
      <c r="M26" s="238"/>
      <c r="N26" s="238"/>
      <c r="O26" s="238"/>
      <c r="P26" s="140"/>
      <c r="Q26" s="140"/>
      <c r="R26" s="140"/>
      <c r="S26" s="140"/>
      <c r="T26" s="140"/>
      <c r="U26" s="140"/>
      <c r="V26" s="140"/>
      <c r="W26" s="140"/>
      <c r="X26" s="140"/>
    </row>
    <row r="27" spans="1:24" ht="15" customHeight="1">
      <c r="A27" s="150"/>
      <c r="B27" s="239" t="s">
        <v>53</v>
      </c>
      <c r="C27" s="243" t="s">
        <v>73</v>
      </c>
      <c r="D27" s="235" t="s">
        <v>77</v>
      </c>
      <c r="E27" s="235">
        <v>3</v>
      </c>
      <c r="F27" s="235">
        <v>15</v>
      </c>
      <c r="G27" s="235">
        <v>60</v>
      </c>
      <c r="H27" s="238"/>
      <c r="I27" s="238"/>
      <c r="J27" s="238"/>
      <c r="K27" s="238"/>
      <c r="L27" s="238"/>
      <c r="M27" s="238"/>
      <c r="N27" s="238"/>
      <c r="O27" s="238"/>
      <c r="P27" s="140"/>
      <c r="Q27" s="140"/>
      <c r="R27" s="140"/>
      <c r="S27" s="140"/>
      <c r="T27" s="140"/>
      <c r="U27" s="140"/>
      <c r="V27" s="140"/>
      <c r="W27" s="140"/>
      <c r="X27" s="140"/>
    </row>
    <row r="28" spans="1:24" ht="15" customHeight="1">
      <c r="A28" s="152"/>
      <c r="B28" s="240"/>
      <c r="C28" s="245"/>
      <c r="D28" s="241"/>
      <c r="E28" s="241"/>
      <c r="F28" s="241"/>
      <c r="G28" s="241"/>
      <c r="H28" s="242"/>
      <c r="I28" s="242"/>
      <c r="J28" s="242"/>
      <c r="K28" s="242"/>
      <c r="L28" s="242"/>
      <c r="M28" s="242"/>
      <c r="N28" s="242"/>
      <c r="O28" s="242"/>
      <c r="P28" s="152"/>
      <c r="Q28" s="152"/>
      <c r="R28" s="152"/>
      <c r="S28" s="152"/>
      <c r="T28" s="152"/>
      <c r="U28" s="152"/>
      <c r="V28" s="152"/>
      <c r="W28" s="152"/>
      <c r="X28" s="152"/>
    </row>
    <row r="29" spans="1:24" ht="15" customHeight="1">
      <c r="A29" s="152"/>
      <c r="B29" s="240"/>
      <c r="C29" s="245"/>
      <c r="D29" s="241"/>
      <c r="E29" s="241"/>
      <c r="F29" s="241"/>
      <c r="G29" s="241"/>
      <c r="H29" s="242"/>
      <c r="I29" s="242"/>
      <c r="J29" s="242"/>
      <c r="K29" s="242"/>
      <c r="L29" s="242"/>
      <c r="M29" s="242"/>
      <c r="N29" s="242"/>
      <c r="O29" s="242"/>
      <c r="P29" s="152"/>
      <c r="Q29" s="152"/>
      <c r="R29" s="152"/>
      <c r="S29" s="152"/>
      <c r="T29" s="152"/>
      <c r="U29" s="152"/>
      <c r="V29" s="152"/>
      <c r="W29" s="152"/>
      <c r="X29" s="152"/>
    </row>
    <row r="30" spans="1:24" ht="15" customHeight="1">
      <c r="A30" s="152"/>
      <c r="B30" s="240" t="s">
        <v>55</v>
      </c>
      <c r="C30" s="243" t="s">
        <v>74</v>
      </c>
      <c r="D30" s="241" t="s">
        <v>124</v>
      </c>
      <c r="E30" s="241">
        <v>3</v>
      </c>
      <c r="F30" s="241">
        <v>15</v>
      </c>
      <c r="G30" s="241">
        <v>60</v>
      </c>
      <c r="H30" s="242"/>
      <c r="I30" s="242"/>
      <c r="J30" s="242"/>
      <c r="K30" s="242"/>
      <c r="L30" s="242"/>
      <c r="M30" s="242"/>
      <c r="N30" s="242"/>
      <c r="O30" s="242"/>
      <c r="P30" s="152"/>
      <c r="Q30" s="152"/>
      <c r="R30" s="152"/>
      <c r="S30" s="152"/>
      <c r="T30" s="152"/>
      <c r="U30" s="152"/>
      <c r="V30" s="152"/>
      <c r="W30" s="152"/>
      <c r="X30" s="152"/>
    </row>
    <row r="31" spans="1:24" ht="15" customHeight="1">
      <c r="A31" s="150"/>
      <c r="B31" s="239" t="s">
        <v>60</v>
      </c>
      <c r="C31" s="243" t="s">
        <v>75</v>
      </c>
      <c r="D31" s="235" t="s">
        <v>78</v>
      </c>
      <c r="E31" s="235">
        <v>3</v>
      </c>
      <c r="F31" s="235">
        <v>12</v>
      </c>
      <c r="G31" s="235">
        <v>60</v>
      </c>
      <c r="H31" s="238"/>
      <c r="I31" s="238"/>
      <c r="J31" s="238"/>
      <c r="K31" s="238"/>
      <c r="L31" s="238"/>
      <c r="M31" s="238"/>
      <c r="N31" s="238"/>
      <c r="O31" s="238"/>
      <c r="P31" s="140"/>
      <c r="Q31" s="140"/>
      <c r="R31" s="140"/>
      <c r="S31" s="140"/>
      <c r="T31" s="140"/>
      <c r="U31" s="140"/>
      <c r="V31" s="140"/>
      <c r="W31" s="140"/>
      <c r="X31" s="140"/>
    </row>
    <row r="32" spans="1:24" ht="15" customHeight="1">
      <c r="A32" s="140"/>
      <c r="B32" s="246"/>
      <c r="C32" s="246"/>
      <c r="D32" s="247"/>
      <c r="E32" s="247"/>
      <c r="F32" s="247"/>
      <c r="G32" s="247"/>
      <c r="H32" s="248"/>
      <c r="I32" s="248"/>
      <c r="J32" s="248"/>
      <c r="K32" s="248"/>
      <c r="L32" s="248"/>
      <c r="M32" s="248"/>
      <c r="N32" s="248"/>
      <c r="O32" s="248"/>
      <c r="P32" s="140"/>
      <c r="Q32" s="140"/>
      <c r="R32" s="140"/>
      <c r="S32" s="140"/>
      <c r="T32" s="140"/>
      <c r="U32" s="140"/>
      <c r="V32" s="140"/>
      <c r="W32" s="140"/>
      <c r="X32" s="140"/>
    </row>
    <row r="33" spans="1:24" ht="14.25" customHeight="1">
      <c r="A33" s="140"/>
      <c r="B33" s="249" t="s">
        <v>56</v>
      </c>
      <c r="C33" s="250"/>
      <c r="D33" s="250"/>
      <c r="E33" s="250"/>
      <c r="F33" s="250"/>
      <c r="G33" s="250"/>
      <c r="H33" s="250"/>
      <c r="I33" s="250"/>
      <c r="J33" s="250"/>
      <c r="K33" s="250"/>
      <c r="L33" s="250"/>
      <c r="M33" s="250"/>
      <c r="N33" s="250"/>
      <c r="O33" s="250"/>
      <c r="P33" s="140"/>
      <c r="Q33" s="140"/>
      <c r="R33" s="140"/>
      <c r="S33" s="140"/>
      <c r="T33" s="140"/>
      <c r="U33" s="140"/>
      <c r="V33" s="140"/>
      <c r="W33" s="140"/>
      <c r="X33" s="140"/>
    </row>
    <row r="34" spans="1:24" ht="14.25" customHeight="1">
      <c r="A34" s="140"/>
      <c r="B34" s="249"/>
      <c r="C34" s="251"/>
      <c r="D34" s="251"/>
      <c r="E34" s="251"/>
      <c r="F34" s="251"/>
      <c r="G34" s="251"/>
      <c r="H34" s="251"/>
      <c r="I34" s="251"/>
      <c r="J34" s="251"/>
      <c r="K34" s="228"/>
      <c r="L34" s="228"/>
      <c r="M34" s="228"/>
      <c r="N34" s="228"/>
      <c r="O34" s="228"/>
      <c r="P34" s="140"/>
      <c r="Q34" s="140"/>
      <c r="R34" s="140"/>
      <c r="S34" s="140"/>
      <c r="T34" s="140"/>
      <c r="U34" s="140"/>
      <c r="V34" s="140"/>
      <c r="W34" s="140"/>
      <c r="X34" s="140"/>
    </row>
    <row r="35" spans="1:24" ht="14.25" customHeight="1">
      <c r="A35" s="150"/>
      <c r="B35" s="431" t="s">
        <v>79</v>
      </c>
      <c r="C35" s="432"/>
      <c r="D35" s="228"/>
      <c r="E35" s="228"/>
      <c r="F35" s="228"/>
      <c r="G35" s="228"/>
      <c r="H35" s="228"/>
      <c r="I35" s="228"/>
      <c r="J35" s="228"/>
      <c r="K35" s="228"/>
      <c r="L35" s="228"/>
      <c r="M35" s="228"/>
      <c r="N35" s="228"/>
      <c r="O35" s="228"/>
      <c r="P35" s="140"/>
      <c r="Q35" s="140"/>
      <c r="R35" s="140"/>
      <c r="S35" s="140"/>
      <c r="T35" s="140"/>
      <c r="U35" s="140"/>
      <c r="V35" s="140"/>
      <c r="W35" s="140"/>
      <c r="X35" s="140"/>
    </row>
    <row r="36" spans="1:24" ht="14.25" customHeight="1">
      <c r="A36" s="150"/>
      <c r="B36" s="252" t="s">
        <v>44</v>
      </c>
      <c r="C36" s="229" t="s">
        <v>45</v>
      </c>
      <c r="D36" s="229" t="s">
        <v>71</v>
      </c>
      <c r="E36" s="229" t="s">
        <v>46</v>
      </c>
      <c r="F36" s="229" t="s">
        <v>107</v>
      </c>
      <c r="G36" s="229" t="s">
        <v>47</v>
      </c>
      <c r="H36" s="229" t="s">
        <v>192</v>
      </c>
      <c r="I36" s="229" t="s">
        <v>193</v>
      </c>
      <c r="J36" s="229" t="s">
        <v>194</v>
      </c>
      <c r="K36" s="229" t="s">
        <v>195</v>
      </c>
      <c r="L36" s="229" t="s">
        <v>196</v>
      </c>
      <c r="M36" s="229" t="s">
        <v>197</v>
      </c>
      <c r="N36" s="229" t="s">
        <v>198</v>
      </c>
      <c r="O36" s="229" t="s">
        <v>199</v>
      </c>
      <c r="P36" s="140"/>
      <c r="Q36" s="140"/>
      <c r="R36" s="140"/>
      <c r="S36" s="140"/>
      <c r="T36" s="140"/>
      <c r="U36" s="140"/>
      <c r="V36" s="140"/>
      <c r="W36" s="140"/>
      <c r="X36" s="140"/>
    </row>
    <row r="37" spans="1:24" ht="14.25" customHeight="1">
      <c r="A37" s="150"/>
      <c r="B37" s="253" t="s">
        <v>83</v>
      </c>
      <c r="C37" s="236" t="s">
        <v>177</v>
      </c>
      <c r="D37" s="428" t="s">
        <v>80</v>
      </c>
      <c r="E37" s="233">
        <v>2</v>
      </c>
      <c r="F37" s="233">
        <v>10</v>
      </c>
      <c r="G37" s="233">
        <v>90</v>
      </c>
      <c r="H37" s="234" t="s">
        <v>189</v>
      </c>
      <c r="I37" s="234"/>
      <c r="J37" s="234"/>
      <c r="K37" s="234"/>
      <c r="L37" s="234"/>
      <c r="M37" s="234"/>
      <c r="N37" s="234"/>
      <c r="O37" s="234"/>
      <c r="P37" s="140"/>
      <c r="Q37" s="140"/>
      <c r="R37" s="140"/>
      <c r="S37" s="140"/>
      <c r="T37" s="140"/>
      <c r="U37" s="140"/>
      <c r="V37" s="140"/>
      <c r="W37" s="140"/>
      <c r="X37" s="140"/>
    </row>
    <row r="38" spans="1:24" ht="14.25" customHeight="1">
      <c r="A38" s="150"/>
      <c r="B38" s="254" t="s">
        <v>83</v>
      </c>
      <c r="C38" s="236" t="s">
        <v>177</v>
      </c>
      <c r="D38" s="429"/>
      <c r="E38" s="240">
        <v>2</v>
      </c>
      <c r="F38" s="240">
        <v>6</v>
      </c>
      <c r="G38" s="240">
        <v>90</v>
      </c>
      <c r="H38" s="238" t="s">
        <v>190</v>
      </c>
      <c r="I38" s="238"/>
      <c r="J38" s="238"/>
      <c r="K38" s="238"/>
      <c r="L38" s="238"/>
      <c r="M38" s="238"/>
      <c r="N38" s="238"/>
      <c r="O38" s="238"/>
      <c r="P38" s="140"/>
      <c r="Q38" s="140"/>
      <c r="R38" s="140"/>
      <c r="S38" s="140"/>
      <c r="T38" s="140"/>
      <c r="U38" s="140"/>
      <c r="V38" s="140"/>
      <c r="W38" s="140"/>
      <c r="X38" s="140"/>
    </row>
    <row r="39" spans="1:24" ht="14.25" customHeight="1">
      <c r="A39" s="150"/>
      <c r="B39" s="255"/>
      <c r="C39" s="240"/>
      <c r="D39" s="241"/>
      <c r="E39" s="241"/>
      <c r="F39" s="241"/>
      <c r="G39" s="241"/>
      <c r="H39" s="238"/>
      <c r="I39" s="242"/>
      <c r="J39" s="242"/>
      <c r="K39" s="242"/>
      <c r="L39" s="242"/>
      <c r="M39" s="242"/>
      <c r="N39" s="242"/>
      <c r="O39" s="242"/>
      <c r="P39" s="140"/>
      <c r="Q39" s="140"/>
      <c r="R39" s="140"/>
      <c r="S39" s="140"/>
      <c r="T39" s="140"/>
      <c r="U39" s="140"/>
      <c r="V39" s="140"/>
      <c r="W39" s="140"/>
      <c r="X39" s="140"/>
    </row>
    <row r="40" spans="1:24" ht="14.25" customHeight="1">
      <c r="A40" s="150"/>
      <c r="B40" s="255" t="s">
        <v>82</v>
      </c>
      <c r="C40" s="256" t="s">
        <v>173</v>
      </c>
      <c r="D40" s="429" t="s">
        <v>80</v>
      </c>
      <c r="E40" s="241">
        <v>2</v>
      </c>
      <c r="F40" s="241">
        <v>10</v>
      </c>
      <c r="G40" s="241">
        <v>90</v>
      </c>
      <c r="H40" s="242" t="s">
        <v>248</v>
      </c>
      <c r="I40" s="242"/>
      <c r="J40" s="242"/>
      <c r="K40" s="242"/>
      <c r="L40" s="242"/>
      <c r="M40" s="242"/>
      <c r="N40" s="242"/>
      <c r="O40" s="242"/>
      <c r="P40" s="140"/>
      <c r="Q40" s="140"/>
      <c r="R40" s="140"/>
      <c r="S40" s="140"/>
      <c r="T40" s="140"/>
      <c r="U40" s="140"/>
      <c r="V40" s="140"/>
      <c r="W40" s="140"/>
      <c r="X40" s="140"/>
    </row>
    <row r="41" spans="1:24" ht="14.25" customHeight="1">
      <c r="A41" s="150"/>
      <c r="B41" s="254" t="s">
        <v>82</v>
      </c>
      <c r="C41" s="256" t="s">
        <v>173</v>
      </c>
      <c r="D41" s="429"/>
      <c r="E41" s="241">
        <v>2</v>
      </c>
      <c r="F41" s="241">
        <v>6</v>
      </c>
      <c r="G41" s="241">
        <v>90</v>
      </c>
      <c r="H41" s="242" t="s">
        <v>249</v>
      </c>
      <c r="I41" s="242"/>
      <c r="J41" s="242"/>
      <c r="K41" s="242"/>
      <c r="L41" s="242"/>
      <c r="M41" s="242"/>
      <c r="N41" s="242"/>
      <c r="O41" s="242"/>
      <c r="P41" s="140"/>
      <c r="Q41" s="140"/>
      <c r="R41" s="140"/>
      <c r="S41" s="140"/>
      <c r="T41" s="140"/>
      <c r="U41" s="140"/>
      <c r="V41" s="140"/>
      <c r="W41" s="140"/>
      <c r="X41" s="140"/>
    </row>
    <row r="42" spans="1:24" ht="14.25" customHeight="1">
      <c r="A42" s="150"/>
      <c r="B42" s="257"/>
      <c r="C42" s="258"/>
      <c r="D42" s="241"/>
      <c r="E42" s="258"/>
      <c r="F42" s="258"/>
      <c r="G42" s="258"/>
      <c r="H42" s="238"/>
      <c r="I42" s="242"/>
      <c r="J42" s="242"/>
      <c r="K42" s="242"/>
      <c r="L42" s="242"/>
      <c r="M42" s="242"/>
      <c r="N42" s="242"/>
      <c r="O42" s="242"/>
      <c r="P42" s="140"/>
      <c r="Q42" s="140"/>
      <c r="R42" s="140"/>
      <c r="S42" s="140"/>
      <c r="T42" s="140"/>
      <c r="U42" s="140"/>
      <c r="V42" s="140"/>
      <c r="W42" s="140"/>
      <c r="X42" s="140"/>
    </row>
    <row r="43" spans="1:24" ht="14.25" customHeight="1">
      <c r="A43" s="150"/>
      <c r="B43" s="254" t="s">
        <v>50</v>
      </c>
      <c r="C43" s="244" t="s">
        <v>81</v>
      </c>
      <c r="D43" s="241" t="s">
        <v>86</v>
      </c>
      <c r="E43" s="241">
        <v>3</v>
      </c>
      <c r="F43" s="241">
        <v>10</v>
      </c>
      <c r="G43" s="241">
        <v>90</v>
      </c>
      <c r="H43" s="238"/>
      <c r="I43" s="242"/>
      <c r="J43" s="242"/>
      <c r="K43" s="242"/>
      <c r="L43" s="242"/>
      <c r="M43" s="242"/>
      <c r="N43" s="242"/>
      <c r="O43" s="242"/>
      <c r="P43" s="140"/>
      <c r="Q43" s="140"/>
      <c r="R43" s="140"/>
      <c r="S43" s="140"/>
      <c r="T43" s="140"/>
      <c r="U43" s="140"/>
      <c r="V43" s="140"/>
      <c r="W43" s="140"/>
      <c r="X43" s="140"/>
    </row>
    <row r="44" spans="1:24" ht="14.25" customHeight="1">
      <c r="A44" s="150"/>
      <c r="B44" s="254" t="s">
        <v>51</v>
      </c>
      <c r="C44" s="244" t="s">
        <v>85</v>
      </c>
      <c r="D44" s="241" t="s">
        <v>96</v>
      </c>
      <c r="E44" s="241">
        <v>3</v>
      </c>
      <c r="F44" s="241">
        <v>10</v>
      </c>
      <c r="G44" s="241">
        <v>90</v>
      </c>
      <c r="H44" s="242"/>
      <c r="I44" s="242"/>
      <c r="J44" s="242"/>
      <c r="K44" s="242"/>
      <c r="L44" s="242"/>
      <c r="M44" s="242"/>
      <c r="N44" s="242"/>
      <c r="O44" s="242"/>
      <c r="P44" s="140"/>
      <c r="Q44" s="140"/>
      <c r="R44" s="140"/>
      <c r="S44" s="140"/>
      <c r="T44" s="140"/>
      <c r="U44" s="140"/>
      <c r="V44" s="140"/>
      <c r="W44" s="140"/>
      <c r="X44" s="140"/>
    </row>
    <row r="45" spans="1:24" ht="14.25" customHeight="1">
      <c r="A45" s="150"/>
      <c r="B45" s="254"/>
      <c r="C45" s="241"/>
      <c r="D45" s="241"/>
      <c r="E45" s="241"/>
      <c r="F45" s="241"/>
      <c r="G45" s="241"/>
      <c r="H45" s="242"/>
      <c r="I45" s="242"/>
      <c r="J45" s="242"/>
      <c r="K45" s="242"/>
      <c r="L45" s="242"/>
      <c r="M45" s="242"/>
      <c r="N45" s="242"/>
      <c r="O45" s="242"/>
      <c r="P45" s="140"/>
      <c r="Q45" s="140"/>
      <c r="R45" s="140"/>
      <c r="S45" s="140"/>
      <c r="T45" s="140"/>
      <c r="U45" s="140"/>
      <c r="V45" s="140"/>
      <c r="W45" s="140"/>
      <c r="X45" s="140"/>
    </row>
    <row r="46" spans="1:24" ht="14.25" customHeight="1">
      <c r="A46" s="150"/>
      <c r="B46" s="254" t="s">
        <v>52</v>
      </c>
      <c r="C46" s="244" t="s">
        <v>59</v>
      </c>
      <c r="D46" s="241" t="s">
        <v>87</v>
      </c>
      <c r="E46" s="241">
        <v>3</v>
      </c>
      <c r="F46" s="241">
        <v>10</v>
      </c>
      <c r="G46" s="241">
        <v>60</v>
      </c>
      <c r="H46" s="242"/>
      <c r="I46" s="242"/>
      <c r="J46" s="242"/>
      <c r="K46" s="242"/>
      <c r="L46" s="242"/>
      <c r="M46" s="242"/>
      <c r="N46" s="242"/>
      <c r="O46" s="242"/>
      <c r="P46" s="140"/>
      <c r="Q46" s="140"/>
      <c r="R46" s="140"/>
      <c r="S46" s="140"/>
      <c r="T46" s="140"/>
      <c r="U46" s="140"/>
      <c r="V46" s="140"/>
      <c r="W46" s="140"/>
      <c r="X46" s="140"/>
    </row>
    <row r="47" spans="1:24" ht="14.25" customHeight="1">
      <c r="A47" s="152"/>
      <c r="B47" s="254" t="s">
        <v>53</v>
      </c>
      <c r="C47" s="244" t="s">
        <v>88</v>
      </c>
      <c r="D47" s="241" t="s">
        <v>90</v>
      </c>
      <c r="E47" s="241">
        <v>3</v>
      </c>
      <c r="F47" s="241">
        <v>12</v>
      </c>
      <c r="G47" s="241">
        <v>60</v>
      </c>
      <c r="H47" s="242"/>
      <c r="I47" s="242"/>
      <c r="J47" s="242"/>
      <c r="K47" s="242"/>
      <c r="L47" s="242"/>
      <c r="M47" s="242"/>
      <c r="N47" s="242"/>
      <c r="O47" s="242"/>
      <c r="P47" s="152"/>
      <c r="Q47" s="152"/>
      <c r="R47" s="152"/>
      <c r="S47" s="152"/>
      <c r="T47" s="152"/>
      <c r="U47" s="152"/>
      <c r="V47" s="152"/>
      <c r="W47" s="152"/>
      <c r="X47" s="152"/>
    </row>
    <row r="48" spans="1:24" ht="14.25" customHeight="1">
      <c r="A48" s="150"/>
      <c r="B48" s="254" t="s">
        <v>54</v>
      </c>
      <c r="C48" s="244" t="s">
        <v>89</v>
      </c>
      <c r="D48" s="241" t="s">
        <v>91</v>
      </c>
      <c r="E48" s="241">
        <v>3</v>
      </c>
      <c r="F48" s="241">
        <v>12</v>
      </c>
      <c r="G48" s="241">
        <v>60</v>
      </c>
      <c r="H48" s="242"/>
      <c r="I48" s="242"/>
      <c r="J48" s="242"/>
      <c r="K48" s="242"/>
      <c r="L48" s="242"/>
      <c r="M48" s="242"/>
      <c r="N48" s="242"/>
      <c r="O48" s="242"/>
      <c r="P48" s="140"/>
      <c r="Q48" s="140"/>
      <c r="R48" s="140"/>
      <c r="S48" s="140"/>
      <c r="T48" s="140"/>
      <c r="U48" s="140"/>
      <c r="V48" s="140"/>
      <c r="W48" s="140"/>
      <c r="X48" s="140"/>
    </row>
    <row r="49" spans="1:24" ht="14.25" customHeight="1">
      <c r="A49" s="152"/>
      <c r="B49" s="254"/>
      <c r="C49" s="259"/>
      <c r="D49" s="241"/>
      <c r="E49" s="241"/>
      <c r="F49" s="241"/>
      <c r="G49" s="241"/>
      <c r="H49" s="242"/>
      <c r="I49" s="242"/>
      <c r="J49" s="242"/>
      <c r="K49" s="242"/>
      <c r="L49" s="242"/>
      <c r="M49" s="242"/>
      <c r="N49" s="242"/>
      <c r="O49" s="242"/>
      <c r="P49" s="152"/>
      <c r="Q49" s="152"/>
      <c r="R49" s="152"/>
      <c r="S49" s="152"/>
      <c r="T49" s="152"/>
      <c r="U49" s="152"/>
      <c r="V49" s="152"/>
      <c r="W49" s="152"/>
      <c r="X49" s="152"/>
    </row>
    <row r="50" spans="1:24" ht="14.25" customHeight="1">
      <c r="A50" s="152"/>
      <c r="B50" s="254" t="s">
        <v>55</v>
      </c>
      <c r="C50" s="244" t="s">
        <v>92</v>
      </c>
      <c r="D50" s="241" t="s">
        <v>94</v>
      </c>
      <c r="E50" s="241">
        <v>3</v>
      </c>
      <c r="F50" s="241">
        <v>10</v>
      </c>
      <c r="G50" s="241">
        <v>60</v>
      </c>
      <c r="H50" s="242"/>
      <c r="I50" s="242"/>
      <c r="J50" s="242"/>
      <c r="K50" s="242"/>
      <c r="L50" s="242"/>
      <c r="M50" s="242"/>
      <c r="N50" s="242"/>
      <c r="O50" s="242"/>
      <c r="P50" s="152"/>
      <c r="Q50" s="152"/>
      <c r="R50" s="152"/>
      <c r="S50" s="152"/>
      <c r="T50" s="152"/>
      <c r="U50" s="152"/>
      <c r="V50" s="152"/>
      <c r="W50" s="152"/>
      <c r="X50" s="152"/>
    </row>
    <row r="51" spans="1:24" ht="14.25" customHeight="1">
      <c r="A51" s="152"/>
      <c r="B51" s="254" t="s">
        <v>60</v>
      </c>
      <c r="C51" s="244" t="s">
        <v>93</v>
      </c>
      <c r="D51" s="241" t="s">
        <v>95</v>
      </c>
      <c r="E51" s="241">
        <v>3</v>
      </c>
      <c r="F51" s="241">
        <v>15</v>
      </c>
      <c r="G51" s="241">
        <v>60</v>
      </c>
      <c r="H51" s="242"/>
      <c r="I51" s="242"/>
      <c r="J51" s="242"/>
      <c r="K51" s="242"/>
      <c r="L51" s="242"/>
      <c r="M51" s="242"/>
      <c r="N51" s="242"/>
      <c r="O51" s="242"/>
      <c r="P51" s="152"/>
      <c r="Q51" s="152"/>
      <c r="R51" s="152"/>
      <c r="S51" s="152"/>
      <c r="T51" s="152"/>
      <c r="U51" s="152"/>
      <c r="V51" s="152"/>
      <c r="W51" s="152"/>
      <c r="X51" s="152"/>
    </row>
    <row r="52" spans="1:24" ht="14.25" customHeight="1">
      <c r="A52" s="150"/>
      <c r="B52" s="260"/>
      <c r="C52" s="247"/>
      <c r="D52" s="247"/>
      <c r="E52" s="247"/>
      <c r="F52" s="247"/>
      <c r="G52" s="247"/>
      <c r="H52" s="248"/>
      <c r="I52" s="248"/>
      <c r="J52" s="248"/>
      <c r="K52" s="248"/>
      <c r="L52" s="248"/>
      <c r="M52" s="248"/>
      <c r="N52" s="248"/>
      <c r="O52" s="248"/>
      <c r="P52" s="140"/>
      <c r="Q52" s="140"/>
      <c r="R52" s="140"/>
      <c r="S52" s="140"/>
      <c r="T52" s="140"/>
      <c r="U52" s="140"/>
      <c r="V52" s="140"/>
      <c r="W52" s="140"/>
      <c r="X52" s="140"/>
    </row>
    <row r="53" spans="1:24" ht="14.25" customHeight="1">
      <c r="A53" s="140"/>
      <c r="B53" s="249" t="s">
        <v>56</v>
      </c>
      <c r="C53" s="250"/>
      <c r="D53" s="250"/>
      <c r="E53" s="250"/>
      <c r="F53" s="250"/>
      <c r="G53" s="250"/>
      <c r="H53" s="250"/>
      <c r="I53" s="250"/>
      <c r="J53" s="250"/>
      <c r="K53" s="250"/>
      <c r="L53" s="250"/>
      <c r="M53" s="250"/>
      <c r="N53" s="250"/>
      <c r="O53" s="250"/>
      <c r="P53" s="140"/>
      <c r="Q53" s="140"/>
      <c r="R53" s="140"/>
      <c r="S53" s="140"/>
      <c r="T53" s="140"/>
      <c r="U53" s="140"/>
      <c r="V53" s="140"/>
      <c r="W53" s="140"/>
      <c r="X53" s="140"/>
    </row>
    <row r="54" spans="1:24" ht="14.25" customHeight="1">
      <c r="A54" s="140"/>
      <c r="B54" s="261"/>
      <c r="C54" s="228"/>
      <c r="D54" s="228"/>
      <c r="E54" s="228"/>
      <c r="F54" s="262"/>
      <c r="G54" s="263"/>
      <c r="H54" s="228"/>
      <c r="I54" s="228"/>
      <c r="J54" s="228"/>
      <c r="K54" s="228"/>
      <c r="L54" s="228"/>
      <c r="M54" s="228"/>
      <c r="N54" s="228"/>
      <c r="O54" s="228"/>
      <c r="P54" s="140"/>
      <c r="Q54" s="140"/>
      <c r="R54" s="140"/>
      <c r="S54" s="140"/>
      <c r="T54" s="140"/>
      <c r="U54" s="140"/>
      <c r="V54" s="140"/>
      <c r="W54" s="140"/>
      <c r="X54" s="140"/>
    </row>
    <row r="55" spans="1:24" ht="14.25" customHeight="1">
      <c r="A55" s="150"/>
      <c r="B55" s="431" t="s">
        <v>108</v>
      </c>
      <c r="C55" s="432"/>
      <c r="D55" s="228"/>
      <c r="E55" s="228"/>
      <c r="F55" s="228"/>
      <c r="G55" s="228"/>
      <c r="H55" s="228"/>
      <c r="I55" s="228"/>
      <c r="J55" s="228"/>
      <c r="K55" s="228"/>
      <c r="L55" s="228"/>
      <c r="M55" s="228"/>
      <c r="N55" s="228"/>
      <c r="O55" s="228"/>
      <c r="P55" s="140"/>
      <c r="Q55" s="140"/>
      <c r="R55" s="140"/>
      <c r="S55" s="140"/>
      <c r="T55" s="140"/>
      <c r="U55" s="140"/>
      <c r="V55" s="140"/>
      <c r="W55" s="140"/>
      <c r="X55" s="140"/>
    </row>
    <row r="56" spans="1:24" ht="14.25" customHeight="1">
      <c r="A56" s="150"/>
      <c r="B56" s="252" t="s">
        <v>44</v>
      </c>
      <c r="C56" s="229" t="s">
        <v>45</v>
      </c>
      <c r="D56" s="229" t="s">
        <v>71</v>
      </c>
      <c r="E56" s="229" t="s">
        <v>46</v>
      </c>
      <c r="F56" s="229" t="s">
        <v>107</v>
      </c>
      <c r="G56" s="229" t="s">
        <v>47</v>
      </c>
      <c r="H56" s="229" t="s">
        <v>192</v>
      </c>
      <c r="I56" s="229" t="s">
        <v>193</v>
      </c>
      <c r="J56" s="229" t="s">
        <v>194</v>
      </c>
      <c r="K56" s="229" t="s">
        <v>195</v>
      </c>
      <c r="L56" s="229" t="s">
        <v>196</v>
      </c>
      <c r="M56" s="229" t="s">
        <v>197</v>
      </c>
      <c r="N56" s="229" t="s">
        <v>198</v>
      </c>
      <c r="O56" s="229" t="s">
        <v>199</v>
      </c>
      <c r="P56" s="140"/>
      <c r="Q56" s="140"/>
      <c r="R56" s="140"/>
      <c r="S56" s="140"/>
      <c r="T56" s="140"/>
      <c r="U56" s="140"/>
      <c r="V56" s="140"/>
      <c r="W56" s="140"/>
      <c r="X56" s="140"/>
    </row>
    <row r="57" spans="1:24" ht="14.25" customHeight="1">
      <c r="A57" s="150"/>
      <c r="B57" s="253" t="s">
        <v>83</v>
      </c>
      <c r="C57" s="244" t="s">
        <v>58</v>
      </c>
      <c r="D57" s="233" t="s">
        <v>97</v>
      </c>
      <c r="E57" s="233">
        <v>2</v>
      </c>
      <c r="F57" s="233">
        <v>15</v>
      </c>
      <c r="G57" s="233">
        <v>90</v>
      </c>
      <c r="H57" s="234" t="s">
        <v>189</v>
      </c>
      <c r="I57" s="234"/>
      <c r="J57" s="234"/>
      <c r="K57" s="234"/>
      <c r="L57" s="234"/>
      <c r="M57" s="234"/>
      <c r="N57" s="234"/>
      <c r="O57" s="234"/>
      <c r="P57" s="140"/>
      <c r="Q57" s="140"/>
      <c r="R57" s="140"/>
      <c r="S57" s="140"/>
      <c r="T57" s="140"/>
      <c r="U57" s="140"/>
      <c r="V57" s="140"/>
      <c r="W57" s="140"/>
      <c r="X57" s="140"/>
    </row>
    <row r="58" spans="1:24" ht="14.25" customHeight="1">
      <c r="A58" s="150"/>
      <c r="B58" s="254" t="s">
        <v>83</v>
      </c>
      <c r="C58" s="244" t="s">
        <v>58</v>
      </c>
      <c r="D58" s="241"/>
      <c r="E58" s="240">
        <v>2</v>
      </c>
      <c r="F58" s="240">
        <v>10</v>
      </c>
      <c r="G58" s="240">
        <v>90</v>
      </c>
      <c r="H58" s="238" t="s">
        <v>190</v>
      </c>
      <c r="I58" s="238"/>
      <c r="J58" s="238"/>
      <c r="K58" s="238"/>
      <c r="L58" s="238"/>
      <c r="M58" s="238"/>
      <c r="N58" s="238"/>
      <c r="O58" s="238"/>
      <c r="P58" s="140"/>
      <c r="Q58" s="140"/>
      <c r="R58" s="140"/>
      <c r="S58" s="140"/>
      <c r="T58" s="140"/>
      <c r="U58" s="140"/>
      <c r="V58" s="140"/>
      <c r="W58" s="140"/>
      <c r="X58" s="140"/>
    </row>
    <row r="59" spans="1:24" ht="14.25" customHeight="1">
      <c r="A59" s="150"/>
      <c r="B59" s="255" t="s">
        <v>83</v>
      </c>
      <c r="C59" s="244" t="s">
        <v>58</v>
      </c>
      <c r="D59" s="241"/>
      <c r="E59" s="241">
        <v>1</v>
      </c>
      <c r="F59" s="241">
        <v>8</v>
      </c>
      <c r="G59" s="241">
        <v>90</v>
      </c>
      <c r="H59" s="238"/>
      <c r="I59" s="242"/>
      <c r="J59" s="242"/>
      <c r="K59" s="242"/>
      <c r="L59" s="242"/>
      <c r="M59" s="242"/>
      <c r="N59" s="242"/>
      <c r="O59" s="242"/>
      <c r="P59" s="140"/>
      <c r="Q59" s="140"/>
      <c r="R59" s="140"/>
      <c r="S59" s="140"/>
      <c r="T59" s="140"/>
      <c r="U59" s="140"/>
      <c r="V59" s="140"/>
      <c r="W59" s="140"/>
      <c r="X59" s="140"/>
    </row>
    <row r="60" spans="1:24" ht="14.25" customHeight="1">
      <c r="A60" s="152"/>
      <c r="B60" s="255"/>
      <c r="C60" s="259"/>
      <c r="D60" s="241"/>
      <c r="E60" s="241"/>
      <c r="F60" s="241"/>
      <c r="G60" s="241"/>
      <c r="H60" s="242"/>
      <c r="I60" s="242"/>
      <c r="J60" s="242"/>
      <c r="K60" s="242"/>
      <c r="L60" s="242"/>
      <c r="M60" s="242"/>
      <c r="N60" s="242"/>
      <c r="O60" s="242"/>
      <c r="P60" s="152"/>
      <c r="Q60" s="152"/>
      <c r="R60" s="152"/>
      <c r="S60" s="152"/>
      <c r="T60" s="152"/>
      <c r="U60" s="152"/>
      <c r="V60" s="152"/>
      <c r="W60" s="152"/>
      <c r="X60" s="152"/>
    </row>
    <row r="61" spans="1:24" ht="14.25" customHeight="1">
      <c r="A61" s="150"/>
      <c r="B61" s="255" t="s">
        <v>82</v>
      </c>
      <c r="C61" s="244" t="s">
        <v>64</v>
      </c>
      <c r="D61" s="241" t="s">
        <v>98</v>
      </c>
      <c r="E61" s="241">
        <v>4</v>
      </c>
      <c r="F61" s="241">
        <v>10</v>
      </c>
      <c r="G61" s="241">
        <v>90</v>
      </c>
      <c r="H61" s="242" t="s">
        <v>246</v>
      </c>
      <c r="I61" s="242"/>
      <c r="J61" s="242"/>
      <c r="K61" s="242"/>
      <c r="L61" s="242"/>
      <c r="M61" s="242"/>
      <c r="N61" s="242"/>
      <c r="O61" s="242"/>
      <c r="P61" s="140"/>
      <c r="Q61" s="140"/>
      <c r="R61" s="140"/>
      <c r="S61" s="140"/>
      <c r="T61" s="140"/>
      <c r="U61" s="140"/>
      <c r="V61" s="140"/>
      <c r="W61" s="140"/>
      <c r="X61" s="140"/>
    </row>
    <row r="62" spans="1:24" ht="14.25" customHeight="1">
      <c r="A62" s="150"/>
      <c r="B62" s="257"/>
      <c r="C62" s="259"/>
      <c r="D62" s="241"/>
      <c r="E62" s="258"/>
      <c r="F62" s="258"/>
      <c r="G62" s="258"/>
      <c r="H62" s="238"/>
      <c r="I62" s="242"/>
      <c r="J62" s="242"/>
      <c r="K62" s="242"/>
      <c r="L62" s="242"/>
      <c r="M62" s="242"/>
      <c r="N62" s="242"/>
      <c r="O62" s="242"/>
      <c r="P62" s="140"/>
      <c r="Q62" s="140"/>
      <c r="R62" s="140"/>
      <c r="S62" s="140"/>
      <c r="T62" s="140"/>
      <c r="U62" s="140"/>
      <c r="V62" s="140"/>
      <c r="W62" s="140"/>
      <c r="X62" s="140"/>
    </row>
    <row r="63" spans="1:24" ht="14.25" customHeight="1">
      <c r="A63" s="150"/>
      <c r="B63" s="254" t="s">
        <v>84</v>
      </c>
      <c r="C63" s="244" t="s">
        <v>99</v>
      </c>
      <c r="D63" s="427" t="s">
        <v>100</v>
      </c>
      <c r="E63" s="241">
        <v>3</v>
      </c>
      <c r="F63" s="241">
        <v>12</v>
      </c>
      <c r="G63" s="241">
        <v>90</v>
      </c>
      <c r="H63" s="238" t="s">
        <v>247</v>
      </c>
      <c r="I63" s="242"/>
      <c r="J63" s="242"/>
      <c r="K63" s="242"/>
      <c r="L63" s="242"/>
      <c r="M63" s="242"/>
      <c r="N63" s="242"/>
      <c r="O63" s="242"/>
      <c r="P63" s="140"/>
      <c r="Q63" s="140"/>
      <c r="R63" s="140"/>
      <c r="S63" s="140"/>
      <c r="T63" s="140"/>
      <c r="U63" s="140"/>
      <c r="V63" s="140"/>
      <c r="W63" s="140"/>
      <c r="X63" s="140"/>
    </row>
    <row r="64" spans="1:24" ht="14.25" customHeight="1">
      <c r="A64" s="150"/>
      <c r="B64" s="254"/>
      <c r="C64" s="259"/>
      <c r="D64" s="427"/>
      <c r="E64" s="241"/>
      <c r="F64" s="241"/>
      <c r="G64" s="241"/>
      <c r="H64" s="242"/>
      <c r="I64" s="242"/>
      <c r="J64" s="242"/>
      <c r="K64" s="242"/>
      <c r="L64" s="242"/>
      <c r="M64" s="242"/>
      <c r="N64" s="242"/>
      <c r="O64" s="242"/>
      <c r="P64" s="140"/>
      <c r="Q64" s="140"/>
      <c r="R64" s="140"/>
      <c r="S64" s="140"/>
      <c r="T64" s="140"/>
      <c r="U64" s="140"/>
      <c r="V64" s="140"/>
      <c r="W64" s="140"/>
      <c r="X64" s="140"/>
    </row>
    <row r="65" spans="1:24" ht="14.25" customHeight="1">
      <c r="A65" s="150"/>
      <c r="B65" s="257"/>
      <c r="C65" s="259"/>
      <c r="D65" s="241"/>
      <c r="E65" s="258"/>
      <c r="F65" s="258"/>
      <c r="G65" s="258"/>
      <c r="H65" s="242"/>
      <c r="I65" s="242"/>
      <c r="J65" s="242"/>
      <c r="K65" s="242"/>
      <c r="L65" s="242"/>
      <c r="M65" s="242"/>
      <c r="N65" s="242"/>
      <c r="O65" s="242"/>
      <c r="P65" s="140"/>
      <c r="Q65" s="140"/>
      <c r="R65" s="140"/>
      <c r="S65" s="140"/>
      <c r="T65" s="140"/>
      <c r="U65" s="140"/>
      <c r="V65" s="140"/>
      <c r="W65" s="140"/>
      <c r="X65" s="140"/>
    </row>
    <row r="66" spans="1:24" ht="14.25" customHeight="1">
      <c r="A66" s="150"/>
      <c r="B66" s="254" t="s">
        <v>52</v>
      </c>
      <c r="C66" s="244" t="s">
        <v>101</v>
      </c>
      <c r="D66" s="241" t="s">
        <v>103</v>
      </c>
      <c r="E66" s="241">
        <v>3</v>
      </c>
      <c r="F66" s="241">
        <v>12</v>
      </c>
      <c r="G66" s="241">
        <v>60</v>
      </c>
      <c r="H66" s="242"/>
      <c r="I66" s="242"/>
      <c r="J66" s="242"/>
      <c r="K66" s="242"/>
      <c r="L66" s="242"/>
      <c r="M66" s="242"/>
      <c r="N66" s="242"/>
      <c r="O66" s="242"/>
      <c r="P66" s="140"/>
      <c r="Q66" s="140"/>
      <c r="R66" s="140"/>
      <c r="S66" s="140"/>
      <c r="T66" s="140"/>
      <c r="U66" s="140"/>
      <c r="V66" s="140"/>
      <c r="W66" s="140"/>
      <c r="X66" s="140"/>
    </row>
    <row r="67" spans="1:24" ht="14.25" customHeight="1">
      <c r="A67" s="150"/>
      <c r="B67" s="254" t="s">
        <v>53</v>
      </c>
      <c r="C67" s="244" t="s">
        <v>102</v>
      </c>
      <c r="D67" s="241" t="s">
        <v>149</v>
      </c>
      <c r="E67" s="241">
        <v>3</v>
      </c>
      <c r="F67" s="241">
        <v>15</v>
      </c>
      <c r="G67" s="241">
        <v>60</v>
      </c>
      <c r="H67" s="242"/>
      <c r="I67" s="242"/>
      <c r="J67" s="242"/>
      <c r="K67" s="242"/>
      <c r="L67" s="242"/>
      <c r="M67" s="242"/>
      <c r="N67" s="242"/>
      <c r="O67" s="242"/>
      <c r="P67" s="140"/>
      <c r="Q67" s="140"/>
      <c r="R67" s="140"/>
      <c r="S67" s="140"/>
      <c r="T67" s="140"/>
      <c r="U67" s="140"/>
      <c r="V67" s="140"/>
      <c r="W67" s="140"/>
      <c r="X67" s="140"/>
    </row>
    <row r="68" spans="1:24" ht="14.25" customHeight="1">
      <c r="A68" s="150"/>
      <c r="B68" s="254"/>
      <c r="C68" s="254"/>
      <c r="D68" s="241"/>
      <c r="E68" s="241"/>
      <c r="F68" s="241"/>
      <c r="G68" s="241"/>
      <c r="H68" s="242"/>
      <c r="I68" s="242"/>
      <c r="J68" s="242"/>
      <c r="K68" s="242"/>
      <c r="L68" s="242"/>
      <c r="M68" s="242"/>
      <c r="N68" s="242"/>
      <c r="O68" s="242"/>
      <c r="P68" s="140"/>
      <c r="Q68" s="140"/>
      <c r="R68" s="140"/>
      <c r="S68" s="140"/>
      <c r="T68" s="140"/>
      <c r="U68" s="140"/>
      <c r="V68" s="140"/>
      <c r="W68" s="140"/>
      <c r="X68" s="140"/>
    </row>
    <row r="69" spans="1:24" ht="14.25" customHeight="1">
      <c r="A69" s="150"/>
      <c r="B69" s="254" t="s">
        <v>55</v>
      </c>
      <c r="C69" s="244" t="s">
        <v>104</v>
      </c>
      <c r="D69" s="427" t="s">
        <v>105</v>
      </c>
      <c r="E69" s="241">
        <v>3</v>
      </c>
      <c r="F69" s="241" t="s">
        <v>106</v>
      </c>
      <c r="G69" s="241">
        <v>60</v>
      </c>
      <c r="H69" s="242"/>
      <c r="I69" s="242"/>
      <c r="J69" s="242"/>
      <c r="K69" s="242"/>
      <c r="L69" s="242"/>
      <c r="M69" s="242"/>
      <c r="N69" s="242"/>
      <c r="O69" s="242"/>
      <c r="P69" s="140"/>
      <c r="Q69" s="140"/>
      <c r="R69" s="140"/>
      <c r="S69" s="140"/>
      <c r="T69" s="140"/>
      <c r="U69" s="140"/>
      <c r="V69" s="140"/>
      <c r="W69" s="140"/>
      <c r="X69" s="140"/>
    </row>
    <row r="70" spans="1:24" ht="14.25" customHeight="1">
      <c r="A70" s="150"/>
      <c r="B70" s="254"/>
      <c r="C70" s="259"/>
      <c r="D70" s="427"/>
      <c r="E70" s="241"/>
      <c r="F70" s="241"/>
      <c r="G70" s="241"/>
      <c r="H70" s="242"/>
      <c r="I70" s="242"/>
      <c r="J70" s="242"/>
      <c r="K70" s="242"/>
      <c r="L70" s="242"/>
      <c r="M70" s="242"/>
      <c r="N70" s="242"/>
      <c r="O70" s="242"/>
      <c r="P70" s="140"/>
      <c r="Q70" s="140"/>
      <c r="R70" s="140"/>
      <c r="S70" s="140"/>
      <c r="T70" s="140"/>
      <c r="U70" s="140"/>
      <c r="V70" s="140"/>
      <c r="W70" s="140"/>
      <c r="X70" s="140"/>
    </row>
    <row r="71" spans="1:24" ht="14.25" customHeight="1">
      <c r="A71" s="150"/>
      <c r="B71" s="260"/>
      <c r="C71" s="247"/>
      <c r="D71" s="247"/>
      <c r="E71" s="247"/>
      <c r="F71" s="247"/>
      <c r="G71" s="247"/>
      <c r="H71" s="248"/>
      <c r="I71" s="248"/>
      <c r="J71" s="248"/>
      <c r="K71" s="248"/>
      <c r="L71" s="248"/>
      <c r="M71" s="248"/>
      <c r="N71" s="248"/>
      <c r="O71" s="248"/>
      <c r="P71" s="140"/>
      <c r="Q71" s="140"/>
      <c r="R71" s="140"/>
      <c r="S71" s="140"/>
      <c r="T71" s="140"/>
      <c r="U71" s="140"/>
      <c r="V71" s="140"/>
      <c r="W71" s="140"/>
      <c r="X71" s="140"/>
    </row>
    <row r="72" spans="1:24" ht="14.25" customHeight="1">
      <c r="A72" s="140"/>
      <c r="B72" s="249" t="s">
        <v>56</v>
      </c>
      <c r="C72" s="250"/>
      <c r="D72" s="250"/>
      <c r="E72" s="250"/>
      <c r="F72" s="250"/>
      <c r="G72" s="250"/>
      <c r="H72" s="250"/>
      <c r="I72" s="250"/>
      <c r="J72" s="250"/>
      <c r="K72" s="250"/>
      <c r="L72" s="250"/>
      <c r="M72" s="250"/>
      <c r="N72" s="250"/>
      <c r="O72" s="250"/>
      <c r="P72" s="140"/>
      <c r="Q72" s="140"/>
      <c r="R72" s="140"/>
      <c r="S72" s="140"/>
      <c r="T72" s="140"/>
      <c r="U72" s="140"/>
      <c r="V72" s="140"/>
      <c r="W72" s="140"/>
      <c r="X72" s="140"/>
    </row>
    <row r="73" spans="1:24" ht="14.25" customHeight="1">
      <c r="A73" s="152"/>
      <c r="B73" s="249"/>
      <c r="C73" s="250"/>
      <c r="D73" s="250"/>
      <c r="E73" s="250"/>
      <c r="F73" s="250"/>
      <c r="G73" s="250"/>
      <c r="H73" s="250"/>
      <c r="I73" s="250"/>
      <c r="J73" s="250"/>
      <c r="K73" s="250"/>
      <c r="L73" s="250"/>
      <c r="M73" s="250"/>
      <c r="N73" s="250"/>
      <c r="O73" s="250"/>
      <c r="P73" s="152"/>
      <c r="Q73" s="152"/>
      <c r="R73" s="152"/>
      <c r="S73" s="152"/>
      <c r="T73" s="152"/>
      <c r="U73" s="152"/>
      <c r="V73" s="152"/>
      <c r="W73" s="152"/>
      <c r="X73" s="152"/>
    </row>
    <row r="74" spans="1:24" ht="14.25" customHeight="1">
      <c r="A74" s="150"/>
      <c r="B74" s="431" t="s">
        <v>109</v>
      </c>
      <c r="C74" s="432"/>
      <c r="D74" s="228"/>
      <c r="E74" s="228"/>
      <c r="F74" s="228"/>
      <c r="G74" s="228"/>
      <c r="H74" s="228"/>
      <c r="I74" s="228"/>
      <c r="J74" s="228"/>
      <c r="K74" s="228"/>
      <c r="L74" s="228"/>
      <c r="M74" s="228"/>
      <c r="N74" s="228"/>
      <c r="O74" s="228"/>
      <c r="P74" s="140"/>
      <c r="Q74" s="140"/>
      <c r="R74" s="140"/>
      <c r="S74" s="140"/>
      <c r="T74" s="140"/>
      <c r="U74" s="140"/>
      <c r="V74" s="140"/>
      <c r="W74" s="140"/>
      <c r="X74" s="140"/>
    </row>
    <row r="75" spans="1:24" ht="14.25" customHeight="1">
      <c r="A75" s="150"/>
      <c r="B75" s="252" t="s">
        <v>44</v>
      </c>
      <c r="C75" s="229" t="s">
        <v>45</v>
      </c>
      <c r="D75" s="229" t="s">
        <v>71</v>
      </c>
      <c r="E75" s="229" t="s">
        <v>46</v>
      </c>
      <c r="F75" s="229" t="s">
        <v>107</v>
      </c>
      <c r="G75" s="229" t="s">
        <v>47</v>
      </c>
      <c r="H75" s="229" t="s">
        <v>192</v>
      </c>
      <c r="I75" s="229" t="s">
        <v>193</v>
      </c>
      <c r="J75" s="229" t="s">
        <v>194</v>
      </c>
      <c r="K75" s="229" t="s">
        <v>195</v>
      </c>
      <c r="L75" s="229" t="s">
        <v>196</v>
      </c>
      <c r="M75" s="229" t="s">
        <v>197</v>
      </c>
      <c r="N75" s="229" t="s">
        <v>198</v>
      </c>
      <c r="O75" s="229" t="s">
        <v>199</v>
      </c>
      <c r="P75" s="140"/>
      <c r="Q75" s="140"/>
      <c r="R75" s="140"/>
      <c r="S75" s="140"/>
      <c r="T75" s="140"/>
      <c r="U75" s="140"/>
      <c r="V75" s="140"/>
      <c r="W75" s="140"/>
      <c r="X75" s="140"/>
    </row>
    <row r="76" spans="1:24" ht="14.25" customHeight="1">
      <c r="A76" s="150"/>
      <c r="B76" s="253" t="s">
        <v>83</v>
      </c>
      <c r="C76" s="244" t="s">
        <v>110</v>
      </c>
      <c r="D76" s="233" t="s">
        <v>111</v>
      </c>
      <c r="E76" s="233">
        <v>2</v>
      </c>
      <c r="F76" s="233">
        <v>10</v>
      </c>
      <c r="G76" s="233">
        <v>90</v>
      </c>
      <c r="H76" s="234" t="s">
        <v>189</v>
      </c>
      <c r="I76" s="234"/>
      <c r="J76" s="234"/>
      <c r="K76" s="234"/>
      <c r="L76" s="234"/>
      <c r="M76" s="234"/>
      <c r="N76" s="234"/>
      <c r="O76" s="234"/>
      <c r="P76" s="140"/>
      <c r="Q76" s="140"/>
      <c r="R76" s="140"/>
      <c r="S76" s="140"/>
      <c r="T76" s="140"/>
      <c r="U76" s="140"/>
      <c r="V76" s="140"/>
      <c r="W76" s="140"/>
      <c r="X76" s="140"/>
    </row>
    <row r="77" spans="1:24" ht="14.25" customHeight="1">
      <c r="A77" s="150"/>
      <c r="B77" s="254" t="s">
        <v>83</v>
      </c>
      <c r="C77" s="244" t="s">
        <v>110</v>
      </c>
      <c r="D77" s="241"/>
      <c r="E77" s="240">
        <v>2</v>
      </c>
      <c r="F77" s="240">
        <v>6</v>
      </c>
      <c r="G77" s="240">
        <v>90</v>
      </c>
      <c r="H77" s="238" t="s">
        <v>190</v>
      </c>
      <c r="I77" s="238"/>
      <c r="J77" s="238"/>
      <c r="K77" s="238"/>
      <c r="L77" s="238"/>
      <c r="M77" s="238"/>
      <c r="N77" s="238"/>
      <c r="O77" s="238"/>
      <c r="P77" s="140"/>
      <c r="Q77" s="140"/>
      <c r="R77" s="140"/>
      <c r="S77" s="140"/>
      <c r="T77" s="140"/>
      <c r="U77" s="140"/>
      <c r="V77" s="140"/>
      <c r="W77" s="140"/>
      <c r="X77" s="140"/>
    </row>
    <row r="78" spans="1:24" ht="14.25" customHeight="1">
      <c r="A78" s="152"/>
      <c r="B78" s="255"/>
      <c r="C78" s="259"/>
      <c r="D78" s="241"/>
      <c r="E78" s="241"/>
      <c r="F78" s="241"/>
      <c r="G78" s="241"/>
      <c r="H78" s="238"/>
      <c r="I78" s="242"/>
      <c r="J78" s="242"/>
      <c r="K78" s="242"/>
      <c r="L78" s="242"/>
      <c r="M78" s="242"/>
      <c r="N78" s="242"/>
      <c r="O78" s="242"/>
      <c r="P78" s="152"/>
      <c r="Q78" s="152"/>
      <c r="R78" s="152"/>
      <c r="S78" s="152"/>
      <c r="T78" s="152"/>
      <c r="U78" s="152"/>
      <c r="V78" s="152"/>
      <c r="W78" s="152"/>
      <c r="X78" s="152"/>
    </row>
    <row r="79" spans="1:24" ht="14.25" customHeight="1">
      <c r="A79" s="150"/>
      <c r="B79" s="255" t="s">
        <v>82</v>
      </c>
      <c r="C79" s="244" t="s">
        <v>112</v>
      </c>
      <c r="D79" s="241" t="s">
        <v>114</v>
      </c>
      <c r="E79" s="241">
        <v>4</v>
      </c>
      <c r="F79" s="264" t="s">
        <v>113</v>
      </c>
      <c r="G79" s="241">
        <v>90</v>
      </c>
      <c r="H79" s="242"/>
      <c r="I79" s="242"/>
      <c r="J79" s="242"/>
      <c r="K79" s="242"/>
      <c r="L79" s="242"/>
      <c r="M79" s="242"/>
      <c r="N79" s="242"/>
      <c r="O79" s="242"/>
      <c r="P79" s="140"/>
      <c r="Q79" s="140"/>
      <c r="R79" s="140"/>
      <c r="S79" s="140"/>
      <c r="T79" s="140"/>
      <c r="U79" s="140"/>
      <c r="V79" s="140"/>
      <c r="W79" s="140"/>
      <c r="X79" s="140"/>
    </row>
    <row r="80" spans="1:24" ht="14.25" customHeight="1">
      <c r="A80" s="150"/>
      <c r="B80" s="257"/>
      <c r="C80" s="259"/>
      <c r="D80" s="241"/>
      <c r="E80" s="258"/>
      <c r="F80" s="258"/>
      <c r="G80" s="258"/>
      <c r="H80" s="242"/>
      <c r="I80" s="242"/>
      <c r="J80" s="242"/>
      <c r="K80" s="242"/>
      <c r="L80" s="242"/>
      <c r="M80" s="242"/>
      <c r="N80" s="242"/>
      <c r="O80" s="242"/>
      <c r="P80" s="140"/>
      <c r="Q80" s="140"/>
      <c r="R80" s="140"/>
      <c r="S80" s="140"/>
      <c r="T80" s="140"/>
      <c r="U80" s="140"/>
      <c r="V80" s="140"/>
      <c r="W80" s="140"/>
      <c r="X80" s="140"/>
    </row>
    <row r="81" spans="1:24" ht="14.25" customHeight="1">
      <c r="A81" s="150"/>
      <c r="B81" s="254" t="s">
        <v>84</v>
      </c>
      <c r="C81" s="244" t="s">
        <v>65</v>
      </c>
      <c r="D81" s="427" t="s">
        <v>123</v>
      </c>
      <c r="E81" s="241">
        <v>3</v>
      </c>
      <c r="F81" s="241">
        <v>10</v>
      </c>
      <c r="G81" s="241">
        <v>90</v>
      </c>
      <c r="H81" s="238" t="s">
        <v>48</v>
      </c>
      <c r="I81" s="242"/>
      <c r="J81" s="242"/>
      <c r="K81" s="242"/>
      <c r="L81" s="242"/>
      <c r="M81" s="242"/>
      <c r="N81" s="242"/>
      <c r="O81" s="242"/>
      <c r="P81" s="140"/>
      <c r="Q81" s="140"/>
      <c r="R81" s="140"/>
      <c r="S81" s="140"/>
      <c r="T81" s="140"/>
      <c r="U81" s="140"/>
      <c r="V81" s="140"/>
      <c r="W81" s="140"/>
      <c r="X81" s="140"/>
    </row>
    <row r="82" spans="1:24" ht="14.25" customHeight="1">
      <c r="A82" s="150"/>
      <c r="B82" s="254"/>
      <c r="C82" s="259"/>
      <c r="D82" s="427"/>
      <c r="E82" s="241"/>
      <c r="F82" s="241"/>
      <c r="G82" s="241"/>
      <c r="H82" s="238" t="s">
        <v>49</v>
      </c>
      <c r="I82" s="242"/>
      <c r="J82" s="242"/>
      <c r="K82" s="242"/>
      <c r="L82" s="242"/>
      <c r="M82" s="242"/>
      <c r="N82" s="242"/>
      <c r="O82" s="242"/>
      <c r="P82" s="140"/>
      <c r="Q82" s="140"/>
      <c r="R82" s="140"/>
      <c r="S82" s="140"/>
      <c r="T82" s="140"/>
      <c r="U82" s="140"/>
      <c r="V82" s="140"/>
      <c r="W82" s="140"/>
      <c r="X82" s="140"/>
    </row>
    <row r="83" spans="1:24" ht="14.25" customHeight="1">
      <c r="A83" s="150"/>
      <c r="B83" s="257"/>
      <c r="C83" s="259"/>
      <c r="D83" s="241"/>
      <c r="E83" s="258"/>
      <c r="F83" s="258"/>
      <c r="G83" s="258"/>
      <c r="H83" s="242"/>
      <c r="I83" s="242"/>
      <c r="J83" s="242"/>
      <c r="K83" s="242"/>
      <c r="L83" s="242"/>
      <c r="M83" s="242"/>
      <c r="N83" s="242"/>
      <c r="O83" s="242"/>
      <c r="P83" s="140"/>
      <c r="Q83" s="140"/>
      <c r="R83" s="140"/>
      <c r="S83" s="140"/>
      <c r="T83" s="140"/>
      <c r="U83" s="140"/>
      <c r="V83" s="140"/>
      <c r="W83" s="140"/>
      <c r="X83" s="140"/>
    </row>
    <row r="84" spans="1:24" ht="14.25" customHeight="1">
      <c r="A84" s="150"/>
      <c r="B84" s="254" t="s">
        <v>52</v>
      </c>
      <c r="C84" s="244" t="s">
        <v>115</v>
      </c>
      <c r="D84" s="241" t="s">
        <v>116</v>
      </c>
      <c r="E84" s="241">
        <v>3</v>
      </c>
      <c r="F84" s="241">
        <v>12</v>
      </c>
      <c r="G84" s="241">
        <v>60</v>
      </c>
      <c r="H84" s="242"/>
      <c r="I84" s="242"/>
      <c r="J84" s="242"/>
      <c r="K84" s="242"/>
      <c r="L84" s="242"/>
      <c r="M84" s="242"/>
      <c r="N84" s="242"/>
      <c r="O84" s="242"/>
      <c r="P84" s="140"/>
      <c r="Q84" s="140"/>
      <c r="R84" s="140"/>
      <c r="S84" s="140"/>
      <c r="T84" s="140"/>
      <c r="U84" s="140"/>
      <c r="V84" s="140"/>
      <c r="W84" s="140"/>
      <c r="X84" s="140"/>
    </row>
    <row r="85" spans="1:24" ht="14.25" customHeight="1">
      <c r="A85" s="150"/>
      <c r="B85" s="254" t="s">
        <v>53</v>
      </c>
      <c r="C85" s="244" t="s">
        <v>117</v>
      </c>
      <c r="D85" s="241" t="s">
        <v>118</v>
      </c>
      <c r="E85" s="241">
        <v>3</v>
      </c>
      <c r="F85" s="241">
        <v>12</v>
      </c>
      <c r="G85" s="241">
        <v>60</v>
      </c>
      <c r="H85" s="242"/>
      <c r="I85" s="242"/>
      <c r="J85" s="242"/>
      <c r="K85" s="242"/>
      <c r="L85" s="242"/>
      <c r="M85" s="242"/>
      <c r="N85" s="242"/>
      <c r="O85" s="242"/>
      <c r="P85" s="140"/>
      <c r="Q85" s="140"/>
      <c r="R85" s="140"/>
      <c r="S85" s="140"/>
      <c r="T85" s="140"/>
      <c r="U85" s="140"/>
      <c r="V85" s="140"/>
      <c r="W85" s="140"/>
      <c r="X85" s="140"/>
    </row>
    <row r="86" spans="1:24" ht="14.25" customHeight="1">
      <c r="A86" s="150"/>
      <c r="B86" s="254"/>
      <c r="C86" s="254"/>
      <c r="D86" s="241"/>
      <c r="E86" s="241"/>
      <c r="F86" s="241"/>
      <c r="G86" s="241"/>
      <c r="H86" s="242"/>
      <c r="I86" s="242"/>
      <c r="J86" s="242"/>
      <c r="K86" s="242"/>
      <c r="L86" s="242"/>
      <c r="M86" s="242"/>
      <c r="N86" s="242"/>
      <c r="O86" s="242"/>
      <c r="P86" s="140"/>
      <c r="Q86" s="140"/>
      <c r="R86" s="140"/>
      <c r="S86" s="140"/>
      <c r="T86" s="140"/>
      <c r="U86" s="140"/>
      <c r="V86" s="140"/>
      <c r="W86" s="140"/>
      <c r="X86" s="140"/>
    </row>
    <row r="87" spans="1:24" ht="14.25" customHeight="1">
      <c r="A87" s="150"/>
      <c r="B87" s="254" t="s">
        <v>55</v>
      </c>
      <c r="C87" s="244" t="s">
        <v>176</v>
      </c>
      <c r="D87" s="237" t="s">
        <v>120</v>
      </c>
      <c r="E87" s="241">
        <v>3</v>
      </c>
      <c r="F87" s="264" t="s">
        <v>119</v>
      </c>
      <c r="G87" s="241">
        <v>60</v>
      </c>
      <c r="H87" s="242"/>
      <c r="I87" s="242"/>
      <c r="J87" s="242"/>
      <c r="K87" s="242"/>
      <c r="L87" s="242"/>
      <c r="M87" s="242"/>
      <c r="N87" s="242"/>
      <c r="O87" s="242"/>
      <c r="P87" s="140"/>
      <c r="Q87" s="140"/>
      <c r="R87" s="140"/>
      <c r="S87" s="140"/>
      <c r="T87" s="140"/>
      <c r="U87" s="140"/>
      <c r="V87" s="140"/>
      <c r="W87" s="140"/>
      <c r="X87" s="140"/>
    </row>
    <row r="88" spans="1:24" ht="14.25" customHeight="1">
      <c r="A88" s="150"/>
      <c r="B88" s="254" t="s">
        <v>60</v>
      </c>
      <c r="C88" s="244" t="s">
        <v>57</v>
      </c>
      <c r="D88" s="237" t="s">
        <v>121</v>
      </c>
      <c r="E88" s="241">
        <v>3</v>
      </c>
      <c r="F88" s="241">
        <v>15</v>
      </c>
      <c r="G88" s="241">
        <v>60</v>
      </c>
      <c r="H88" s="242"/>
      <c r="I88" s="242"/>
      <c r="J88" s="242"/>
      <c r="K88" s="242"/>
      <c r="L88" s="242"/>
      <c r="M88" s="242"/>
      <c r="N88" s="242"/>
      <c r="O88" s="242"/>
      <c r="P88" s="140"/>
      <c r="Q88" s="140"/>
      <c r="R88" s="140"/>
      <c r="S88" s="140"/>
      <c r="T88" s="140"/>
      <c r="U88" s="140"/>
      <c r="V88" s="140"/>
      <c r="W88" s="140"/>
      <c r="X88" s="140"/>
    </row>
    <row r="89" spans="1:24" ht="14.25" customHeight="1">
      <c r="A89" s="150"/>
      <c r="B89" s="164"/>
      <c r="C89" s="158"/>
      <c r="D89" s="158"/>
      <c r="E89" s="158"/>
      <c r="F89" s="158"/>
      <c r="G89" s="158"/>
      <c r="H89" s="159"/>
      <c r="I89" s="159"/>
      <c r="J89" s="159"/>
      <c r="K89" s="159"/>
      <c r="L89" s="159"/>
      <c r="M89" s="159"/>
      <c r="N89" s="159"/>
      <c r="O89" s="159"/>
      <c r="P89" s="140"/>
      <c r="Q89" s="140"/>
      <c r="R89" s="140"/>
      <c r="S89" s="140"/>
      <c r="T89" s="140"/>
      <c r="U89" s="140"/>
      <c r="V89" s="140"/>
      <c r="W89" s="140"/>
      <c r="X89" s="140"/>
    </row>
    <row r="90" spans="1:24" ht="14.25" customHeight="1">
      <c r="A90" s="140"/>
      <c r="B90" s="148"/>
      <c r="C90" s="140"/>
      <c r="D90" s="140"/>
      <c r="E90" s="140"/>
      <c r="F90" s="140"/>
      <c r="G90" s="140"/>
      <c r="H90" s="140"/>
      <c r="I90" s="140"/>
      <c r="J90" s="140"/>
      <c r="K90" s="140"/>
      <c r="L90" s="140"/>
      <c r="M90" s="140"/>
      <c r="N90" s="140"/>
      <c r="O90" s="140"/>
      <c r="P90" s="140"/>
      <c r="Q90" s="140"/>
      <c r="R90" s="140"/>
      <c r="S90" s="140"/>
      <c r="T90" s="140"/>
      <c r="U90" s="140"/>
      <c r="V90" s="140"/>
      <c r="W90" s="140"/>
      <c r="X90" s="140"/>
    </row>
    <row r="91" spans="1:24" ht="14.25" customHeight="1">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row>
    <row r="92" spans="1:24" ht="14.25" customHeight="1">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row>
    <row r="93" spans="1:24" ht="14.25" customHeight="1">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row>
    <row r="94" spans="1:24" ht="14.25" customHeight="1">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row>
  </sheetData>
  <mergeCells count="12">
    <mergeCell ref="D63:D64"/>
    <mergeCell ref="D69:D70"/>
    <mergeCell ref="B74:C74"/>
    <mergeCell ref="D81:D82"/>
    <mergeCell ref="B35:C35"/>
    <mergeCell ref="B55:C55"/>
    <mergeCell ref="M10:N10"/>
    <mergeCell ref="D12:D24"/>
    <mergeCell ref="D37:D38"/>
    <mergeCell ref="D40:D41"/>
    <mergeCell ref="B4:D6"/>
    <mergeCell ref="B10:C10"/>
  </mergeCells>
  <hyperlinks>
    <hyperlink ref="C63" r:id="rId1" xr:uid="{00000000-0004-0000-0300-000000000000}"/>
    <hyperlink ref="C12" r:id="rId2" xr:uid="{00000000-0004-0000-0300-000001000000}"/>
    <hyperlink ref="C13" r:id="rId3" xr:uid="{00000000-0004-0000-0300-000002000000}"/>
    <hyperlink ref="C14" r:id="rId4" xr:uid="{00000000-0004-0000-0300-000003000000}"/>
    <hyperlink ref="C22" r:id="rId5" xr:uid="{00000000-0004-0000-0300-000004000000}"/>
    <hyperlink ref="C23" r:id="rId6" xr:uid="{00000000-0004-0000-0300-000005000000}"/>
    <hyperlink ref="C24" r:id="rId7" xr:uid="{00000000-0004-0000-0300-000006000000}"/>
    <hyperlink ref="C27" r:id="rId8" xr:uid="{00000000-0004-0000-0300-000007000000}"/>
    <hyperlink ref="C41" r:id="rId9" xr:uid="{00000000-0004-0000-0300-000008000000}"/>
    <hyperlink ref="C40" r:id="rId10" xr:uid="{00000000-0004-0000-0300-000009000000}"/>
    <hyperlink ref="C84" r:id="rId11" xr:uid="{00000000-0004-0000-0300-00000A000000}"/>
    <hyperlink ref="C31" r:id="rId12" xr:uid="{00000000-0004-0000-0300-00000B000000}"/>
    <hyperlink ref="C15" r:id="rId13" xr:uid="{00000000-0004-0000-0300-00000C000000}"/>
    <hyperlink ref="C12:C15" r:id="rId14" display="Barbell Back Squat" xr:uid="{00000000-0004-0000-0300-00000D000000}"/>
    <hyperlink ref="C17:C20" r:id="rId15" display="Barbell Bench Press" xr:uid="{00000000-0004-0000-0300-00000E000000}"/>
    <hyperlink ref="C22:C24" r:id="rId16" display="Deadlift" xr:uid="{00000000-0004-0000-0300-00000F000000}"/>
    <hyperlink ref="C88" r:id="rId17" xr:uid="{00000000-0004-0000-0300-000010000000}"/>
    <hyperlink ref="C38" r:id="rId18" display="Seated Barbell Press" xr:uid="{00000000-0004-0000-0300-000011000000}"/>
    <hyperlink ref="C44" r:id="rId19" xr:uid="{00000000-0004-0000-0300-000012000000}"/>
    <hyperlink ref="C61" r:id="rId20" xr:uid="{00000000-0004-0000-0300-000013000000}"/>
    <hyperlink ref="C47" r:id="rId21" xr:uid="{00000000-0004-0000-0300-000014000000}"/>
    <hyperlink ref="C40:C41" r:id="rId22" display="Bent Over Row" xr:uid="{00000000-0004-0000-0300-000015000000}"/>
    <hyperlink ref="C48" r:id="rId23" xr:uid="{00000000-0004-0000-0300-000016000000}"/>
    <hyperlink ref="C30" r:id="rId24" xr:uid="{00000000-0004-0000-0300-000017000000}"/>
    <hyperlink ref="C37" r:id="rId25" display="Seated Barbell Press" xr:uid="{00000000-0004-0000-0300-000018000000}"/>
    <hyperlink ref="C51" r:id="rId26" xr:uid="{00000000-0004-0000-0300-000019000000}"/>
    <hyperlink ref="C46" r:id="rId27" xr:uid="{00000000-0004-0000-0300-00001A000000}"/>
    <hyperlink ref="C87" r:id="rId28" xr:uid="{00000000-0004-0000-0300-00001B000000}"/>
    <hyperlink ref="C85" r:id="rId29" xr:uid="{00000000-0004-0000-0300-00001C000000}"/>
    <hyperlink ref="C76:C77" r:id="rId30" display="Flat Dumbbell Chest Press" xr:uid="{00000000-0004-0000-0300-00001D000000}"/>
    <hyperlink ref="C79" r:id="rId31" xr:uid="{00000000-0004-0000-0300-00001E000000}"/>
    <hyperlink ref="C57:C59" r:id="rId32" display="Leg Press" xr:uid="{00000000-0004-0000-0300-00001F000000}"/>
    <hyperlink ref="C67" r:id="rId33" xr:uid="{00000000-0004-0000-0300-000020000000}"/>
    <hyperlink ref="C50" r:id="rId34" xr:uid="{00000000-0004-0000-0300-000021000000}"/>
    <hyperlink ref="C69" r:id="rId35" xr:uid="{00000000-0004-0000-0300-000022000000}"/>
    <hyperlink ref="C43" r:id="rId36" xr:uid="{00000000-0004-0000-0300-000023000000}"/>
    <hyperlink ref="C81" r:id="rId37" xr:uid="{00000000-0004-0000-0300-000024000000}"/>
    <hyperlink ref="C66" r:id="rId38" xr:uid="{00000000-0004-0000-0300-000025000000}"/>
    <hyperlink ref="C26" r:id="rId39" xr:uid="{00000000-0004-0000-0300-000026000000}"/>
  </hyperlinks>
  <printOptions horizontalCentered="1" verticalCentered="1"/>
  <pageMargins left="0.70866141732283472" right="0.70866141732283472" top="0.74803149606299213" bottom="0.74803149606299213" header="0" footer="0"/>
  <pageSetup paperSize="9" scale="51" orientation="landscape" r:id="rId40"/>
  <rowBreaks count="1" manualBreakCount="1">
    <brk id="53" max="16383" man="1"/>
  </rowBreaks>
  <colBreaks count="1" manualBreakCount="1">
    <brk id="16" max="1048575" man="1"/>
  </colBreaks>
  <drawing r:id="rId4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92"/>
  <sheetViews>
    <sheetView zoomScale="90" zoomScaleNormal="90" workbookViewId="0">
      <selection activeCell="B69" sqref="B69:C69"/>
    </sheetView>
  </sheetViews>
  <sheetFormatPr defaultColWidth="12.625" defaultRowHeight="15" customHeight="1"/>
  <cols>
    <col min="1" max="1" width="2.875" style="70" customWidth="1"/>
    <col min="2" max="2" width="13.125" style="70" customWidth="1"/>
    <col min="3" max="3" width="33.625" style="70" customWidth="1"/>
    <col min="4" max="4" width="37.625" style="269" customWidth="1"/>
    <col min="5" max="5" width="5.625" style="70" customWidth="1"/>
    <col min="6" max="6" width="6.125" style="70" customWidth="1"/>
    <col min="7" max="7" width="9.375" style="70" customWidth="1"/>
    <col min="8" max="15" width="15.375" style="70" customWidth="1"/>
    <col min="16" max="16" width="2.875" style="70" customWidth="1"/>
    <col min="17" max="24" width="7.625" style="70" customWidth="1"/>
    <col min="25" max="16384" width="12.625" style="70"/>
  </cols>
  <sheetData>
    <row r="1" spans="1:24" ht="14.25" customHeight="1">
      <c r="A1" s="140"/>
      <c r="B1" s="140"/>
      <c r="C1" s="140"/>
      <c r="D1" s="145"/>
      <c r="E1" s="140"/>
      <c r="F1" s="140"/>
      <c r="G1" s="140"/>
      <c r="H1" s="140"/>
      <c r="I1" s="140"/>
      <c r="J1" s="140"/>
      <c r="K1" s="140"/>
      <c r="L1" s="140"/>
      <c r="M1" s="140"/>
      <c r="N1" s="140"/>
      <c r="O1" s="140"/>
      <c r="P1" s="140"/>
      <c r="Q1" s="140"/>
      <c r="R1" s="140"/>
      <c r="S1" s="140"/>
      <c r="T1" s="140"/>
      <c r="U1" s="140"/>
      <c r="V1" s="140"/>
      <c r="W1" s="140"/>
      <c r="X1" s="140"/>
    </row>
    <row r="2" spans="1:24" ht="14.25" customHeight="1">
      <c r="A2" s="140"/>
      <c r="B2" s="140"/>
      <c r="C2" s="140"/>
      <c r="D2" s="145"/>
      <c r="E2" s="140"/>
      <c r="F2" s="141"/>
      <c r="G2" s="140"/>
      <c r="H2" s="140"/>
      <c r="I2" s="140"/>
      <c r="J2" s="140"/>
      <c r="K2" s="140"/>
      <c r="L2" s="140"/>
      <c r="M2" s="140"/>
      <c r="N2" s="140"/>
      <c r="O2" s="140"/>
      <c r="P2" s="140"/>
      <c r="Q2" s="140"/>
      <c r="R2" s="140"/>
      <c r="S2" s="140"/>
      <c r="T2" s="140"/>
      <c r="U2" s="140"/>
      <c r="V2" s="140"/>
      <c r="W2" s="140"/>
      <c r="X2" s="140"/>
    </row>
    <row r="3" spans="1:24" ht="14.25" customHeight="1">
      <c r="A3" s="140"/>
      <c r="B3" s="142"/>
      <c r="C3" s="143"/>
      <c r="D3" s="265"/>
      <c r="E3" s="144"/>
      <c r="F3" s="145"/>
      <c r="G3" s="140"/>
      <c r="H3" s="146"/>
      <c r="I3" s="140"/>
      <c r="J3" s="140"/>
      <c r="K3" s="140"/>
      <c r="L3" s="140"/>
      <c r="M3" s="140"/>
      <c r="N3" s="140"/>
      <c r="O3" s="140"/>
      <c r="P3" s="140"/>
      <c r="Q3" s="140"/>
      <c r="R3" s="140"/>
      <c r="S3" s="140"/>
      <c r="T3" s="140"/>
      <c r="U3" s="140"/>
      <c r="V3" s="140"/>
      <c r="W3" s="140"/>
      <c r="X3" s="140"/>
    </row>
    <row r="4" spans="1:24" ht="14.25" customHeight="1">
      <c r="A4" s="140"/>
      <c r="B4" s="430" t="s">
        <v>69</v>
      </c>
      <c r="C4" s="430"/>
      <c r="D4" s="430"/>
      <c r="E4" s="144"/>
      <c r="F4" s="145"/>
      <c r="G4" s="147"/>
      <c r="H4" s="147"/>
      <c r="I4" s="147"/>
      <c r="J4" s="147"/>
      <c r="K4" s="147"/>
      <c r="L4" s="140"/>
      <c r="M4" s="140"/>
      <c r="N4" s="140"/>
      <c r="O4" s="140"/>
      <c r="P4" s="140"/>
      <c r="Q4" s="140"/>
      <c r="R4" s="140"/>
      <c r="S4" s="140"/>
      <c r="T4" s="140"/>
      <c r="U4" s="140"/>
      <c r="V4" s="140"/>
      <c r="W4" s="140"/>
      <c r="X4" s="140"/>
    </row>
    <row r="5" spans="1:24" ht="14.25" customHeight="1">
      <c r="A5" s="140"/>
      <c r="B5" s="430"/>
      <c r="C5" s="430"/>
      <c r="D5" s="430"/>
      <c r="E5" s="144"/>
      <c r="F5" s="140"/>
      <c r="G5" s="147"/>
      <c r="H5" s="147"/>
      <c r="I5" s="147"/>
      <c r="J5" s="147"/>
      <c r="K5" s="147"/>
      <c r="L5" s="140"/>
      <c r="M5" s="140"/>
      <c r="N5" s="140"/>
      <c r="O5" s="140"/>
      <c r="P5" s="140"/>
      <c r="Q5" s="140"/>
      <c r="R5" s="140"/>
      <c r="S5" s="140"/>
      <c r="T5" s="140"/>
      <c r="U5" s="140"/>
      <c r="V5" s="140"/>
      <c r="W5" s="140"/>
      <c r="X5" s="140"/>
    </row>
    <row r="6" spans="1:24" ht="14.25" customHeight="1">
      <c r="A6" s="140"/>
      <c r="B6" s="430"/>
      <c r="C6" s="430"/>
      <c r="D6" s="430"/>
      <c r="E6" s="144"/>
      <c r="F6" s="140"/>
      <c r="G6" s="147"/>
      <c r="H6" s="147"/>
      <c r="I6" s="147"/>
      <c r="J6" s="147"/>
      <c r="K6" s="147"/>
      <c r="L6" s="140"/>
      <c r="M6" s="140"/>
      <c r="N6" s="140"/>
      <c r="O6" s="140"/>
      <c r="P6" s="140"/>
      <c r="Q6" s="140"/>
      <c r="R6" s="140"/>
      <c r="S6" s="140"/>
      <c r="T6" s="140"/>
      <c r="U6" s="140"/>
      <c r="V6" s="140"/>
      <c r="W6" s="140"/>
      <c r="X6" s="140"/>
    </row>
    <row r="7" spans="1:24" ht="14.25" customHeight="1">
      <c r="A7" s="140"/>
      <c r="B7" s="148"/>
      <c r="C7" s="140"/>
      <c r="D7" s="145"/>
      <c r="E7" s="140"/>
      <c r="F7" s="140"/>
      <c r="G7" s="147"/>
      <c r="H7" s="147"/>
      <c r="I7" s="147"/>
      <c r="J7" s="147"/>
      <c r="K7" s="140"/>
      <c r="L7" s="140"/>
      <c r="M7" s="140"/>
      <c r="N7" s="140"/>
      <c r="O7" s="140"/>
      <c r="P7" s="140"/>
      <c r="Q7" s="140"/>
      <c r="R7" s="140"/>
      <c r="S7" s="140"/>
      <c r="T7" s="140"/>
      <c r="U7" s="140"/>
      <c r="V7" s="140"/>
      <c r="W7" s="140"/>
      <c r="X7" s="140"/>
    </row>
    <row r="8" spans="1:24" ht="14.25" customHeight="1">
      <c r="A8" s="140"/>
      <c r="B8" s="148"/>
      <c r="C8" s="140"/>
      <c r="D8" s="145"/>
      <c r="E8" s="140"/>
      <c r="F8" s="140"/>
      <c r="G8" s="147"/>
      <c r="H8" s="147"/>
      <c r="I8" s="147"/>
      <c r="J8" s="147"/>
      <c r="K8" s="140"/>
      <c r="L8" s="140"/>
      <c r="M8" s="140"/>
      <c r="N8" s="140"/>
      <c r="O8" s="140"/>
      <c r="P8" s="140"/>
      <c r="Q8" s="140"/>
      <c r="R8" s="140"/>
      <c r="S8" s="140"/>
      <c r="T8" s="140"/>
      <c r="U8" s="140"/>
      <c r="V8" s="140"/>
      <c r="W8" s="140"/>
      <c r="X8" s="140"/>
    </row>
    <row r="9" spans="1:24" ht="14.25" customHeight="1" thickBot="1">
      <c r="A9" s="140"/>
      <c r="B9" s="149"/>
      <c r="C9" s="149"/>
      <c r="D9" s="266"/>
      <c r="E9" s="149"/>
      <c r="F9" s="140"/>
      <c r="G9" s="147"/>
      <c r="H9" s="147"/>
      <c r="I9" s="147"/>
      <c r="J9" s="147"/>
      <c r="K9" s="140"/>
      <c r="L9" s="140"/>
      <c r="M9" s="140"/>
      <c r="N9" s="140"/>
      <c r="O9" s="140"/>
      <c r="P9" s="140"/>
      <c r="Q9" s="140"/>
      <c r="R9" s="140"/>
      <c r="S9" s="140"/>
      <c r="T9" s="140"/>
      <c r="U9" s="140"/>
      <c r="V9" s="140"/>
      <c r="W9" s="140"/>
      <c r="X9" s="140"/>
    </row>
    <row r="10" spans="1:24" ht="14.25" customHeight="1" thickBot="1">
      <c r="A10" s="152"/>
      <c r="B10" s="448" t="s">
        <v>67</v>
      </c>
      <c r="C10" s="449"/>
      <c r="D10" s="145"/>
      <c r="E10" s="297"/>
      <c r="F10" s="297"/>
      <c r="G10" s="297"/>
      <c r="H10" s="297"/>
      <c r="I10" s="297"/>
      <c r="J10" s="140"/>
      <c r="K10" s="140"/>
      <c r="L10" s="140"/>
      <c r="M10" s="437"/>
      <c r="N10" s="438"/>
      <c r="O10" s="140"/>
      <c r="P10" s="79"/>
      <c r="Q10" s="140"/>
      <c r="R10" s="140"/>
      <c r="S10" s="140"/>
      <c r="T10" s="140"/>
      <c r="U10" s="140"/>
      <c r="V10" s="140"/>
      <c r="W10" s="140"/>
      <c r="X10" s="140"/>
    </row>
    <row r="11" spans="1:24" ht="14.25" customHeight="1" thickBot="1">
      <c r="A11" s="296"/>
      <c r="B11" s="319" t="s">
        <v>44</v>
      </c>
      <c r="C11" s="319" t="s">
        <v>45</v>
      </c>
      <c r="D11" s="320" t="s">
        <v>71</v>
      </c>
      <c r="E11" s="320" t="s">
        <v>46</v>
      </c>
      <c r="F11" s="320" t="s">
        <v>107</v>
      </c>
      <c r="G11" s="320" t="s">
        <v>47</v>
      </c>
      <c r="H11" s="321" t="s">
        <v>192</v>
      </c>
      <c r="I11" s="320" t="s">
        <v>193</v>
      </c>
      <c r="J11" s="322" t="s">
        <v>194</v>
      </c>
      <c r="K11" s="322" t="s">
        <v>195</v>
      </c>
      <c r="L11" s="321" t="s">
        <v>196</v>
      </c>
      <c r="M11" s="323" t="s">
        <v>197</v>
      </c>
      <c r="N11" s="324" t="s">
        <v>198</v>
      </c>
      <c r="O11" s="325" t="s">
        <v>199</v>
      </c>
      <c r="P11" s="147"/>
      <c r="Q11" s="140"/>
      <c r="R11" s="140"/>
      <c r="S11" s="140"/>
      <c r="T11" s="140"/>
      <c r="U11" s="140"/>
      <c r="V11" s="140"/>
      <c r="W11" s="140"/>
      <c r="X11" s="140"/>
    </row>
    <row r="12" spans="1:24" ht="15" customHeight="1">
      <c r="A12" s="296"/>
      <c r="B12" s="450" t="s">
        <v>83</v>
      </c>
      <c r="C12" s="435" t="s">
        <v>70</v>
      </c>
      <c r="D12" s="444" t="s">
        <v>134</v>
      </c>
      <c r="E12" s="433">
        <v>4</v>
      </c>
      <c r="F12" s="433">
        <v>6</v>
      </c>
      <c r="G12" s="433">
        <v>90</v>
      </c>
      <c r="H12" s="328"/>
      <c r="I12" s="329"/>
      <c r="J12" s="330"/>
      <c r="K12" s="330"/>
      <c r="L12" s="331"/>
      <c r="M12" s="331"/>
      <c r="N12" s="331"/>
      <c r="O12" s="331"/>
      <c r="P12" s="151"/>
      <c r="Q12" s="140"/>
      <c r="R12" s="140"/>
      <c r="S12" s="140"/>
      <c r="T12" s="140"/>
      <c r="U12" s="140"/>
      <c r="V12" s="140"/>
      <c r="W12" s="140"/>
      <c r="X12" s="140"/>
    </row>
    <row r="13" spans="1:24" ht="15" customHeight="1" thickBot="1">
      <c r="A13" s="296"/>
      <c r="B13" s="451"/>
      <c r="C13" s="452"/>
      <c r="D13" s="445"/>
      <c r="E13" s="443"/>
      <c r="F13" s="443"/>
      <c r="G13" s="443"/>
      <c r="H13" s="333"/>
      <c r="I13" s="334"/>
      <c r="J13" s="335"/>
      <c r="K13" s="335"/>
      <c r="L13" s="335"/>
      <c r="M13" s="335"/>
      <c r="N13" s="335"/>
      <c r="O13" s="335"/>
      <c r="P13" s="155"/>
      <c r="Q13" s="152"/>
      <c r="R13" s="152"/>
      <c r="S13" s="152"/>
      <c r="T13" s="152"/>
      <c r="U13" s="152"/>
      <c r="V13" s="152"/>
      <c r="W13" s="152"/>
      <c r="X13" s="152"/>
    </row>
    <row r="14" spans="1:24" ht="15" customHeight="1" thickBot="1">
      <c r="A14" s="296"/>
      <c r="B14" s="336"/>
      <c r="C14" s="337"/>
      <c r="D14" s="338"/>
      <c r="E14" s="339"/>
      <c r="F14" s="339"/>
      <c r="G14" s="339"/>
      <c r="H14" s="340"/>
      <c r="I14" s="340"/>
      <c r="J14" s="340"/>
      <c r="K14" s="340"/>
      <c r="L14" s="340"/>
      <c r="M14" s="340"/>
      <c r="N14" s="340"/>
      <c r="O14" s="341"/>
      <c r="P14" s="155"/>
      <c r="Q14" s="152"/>
      <c r="R14" s="152"/>
      <c r="S14" s="152"/>
      <c r="T14" s="152"/>
      <c r="U14" s="152"/>
      <c r="V14" s="152"/>
      <c r="W14" s="152"/>
      <c r="X14" s="152"/>
    </row>
    <row r="15" spans="1:24" ht="15" customHeight="1" thickBot="1">
      <c r="A15" s="296"/>
      <c r="B15" s="326" t="s">
        <v>82</v>
      </c>
      <c r="C15" s="342" t="s">
        <v>125</v>
      </c>
      <c r="D15" s="343" t="s">
        <v>191</v>
      </c>
      <c r="E15" s="344">
        <v>4</v>
      </c>
      <c r="F15" s="344">
        <v>8</v>
      </c>
      <c r="G15" s="344">
        <v>90</v>
      </c>
      <c r="H15" s="345"/>
      <c r="I15" s="346"/>
      <c r="J15" s="341"/>
      <c r="K15" s="341"/>
      <c r="L15" s="341"/>
      <c r="M15" s="341"/>
      <c r="N15" s="341"/>
      <c r="O15" s="341"/>
      <c r="P15" s="151"/>
      <c r="Q15" s="140"/>
      <c r="R15" s="140"/>
      <c r="S15" s="140"/>
      <c r="T15" s="140"/>
      <c r="U15" s="140"/>
      <c r="V15" s="140"/>
      <c r="W15" s="140"/>
      <c r="X15" s="140"/>
    </row>
    <row r="16" spans="1:24" ht="15" customHeight="1" thickBot="1">
      <c r="A16" s="296"/>
      <c r="B16" s="327"/>
      <c r="C16" s="347"/>
      <c r="D16" s="314"/>
      <c r="E16" s="303"/>
      <c r="F16" s="339"/>
      <c r="G16" s="339"/>
      <c r="H16" s="340"/>
      <c r="I16" s="340"/>
      <c r="J16" s="340"/>
      <c r="K16" s="340"/>
      <c r="L16" s="340"/>
      <c r="M16" s="340"/>
      <c r="N16" s="340"/>
      <c r="O16" s="341"/>
      <c r="P16" s="145"/>
      <c r="Q16" s="140"/>
      <c r="R16" s="140"/>
      <c r="S16" s="140"/>
      <c r="T16" s="140"/>
      <c r="U16" s="140"/>
      <c r="V16" s="140"/>
      <c r="W16" s="140"/>
      <c r="X16" s="140"/>
    </row>
    <row r="17" spans="1:24" ht="15" customHeight="1">
      <c r="A17" s="296"/>
      <c r="B17" s="327" t="s">
        <v>84</v>
      </c>
      <c r="C17" s="435" t="s">
        <v>61</v>
      </c>
      <c r="D17" s="446" t="s">
        <v>135</v>
      </c>
      <c r="E17" s="433">
        <v>3</v>
      </c>
      <c r="F17" s="433">
        <v>6</v>
      </c>
      <c r="G17" s="433">
        <v>60</v>
      </c>
      <c r="H17" s="348"/>
      <c r="I17" s="349"/>
      <c r="J17" s="331"/>
      <c r="K17" s="331"/>
      <c r="L17" s="331"/>
      <c r="M17" s="331"/>
      <c r="N17" s="331"/>
      <c r="O17" s="331"/>
      <c r="P17" s="155"/>
      <c r="Q17" s="152"/>
      <c r="R17" s="152"/>
      <c r="S17" s="152"/>
      <c r="T17" s="152"/>
      <c r="U17" s="152"/>
      <c r="V17" s="152"/>
      <c r="W17" s="152"/>
      <c r="X17" s="152"/>
    </row>
    <row r="18" spans="1:24" ht="15" customHeight="1" thickBot="1">
      <c r="A18" s="296"/>
      <c r="B18" s="350"/>
      <c r="C18" s="436"/>
      <c r="D18" s="447"/>
      <c r="E18" s="434"/>
      <c r="F18" s="434"/>
      <c r="G18" s="434"/>
      <c r="H18" s="351"/>
      <c r="I18" s="352"/>
      <c r="J18" s="353"/>
      <c r="K18" s="353"/>
      <c r="L18" s="353"/>
      <c r="M18" s="353"/>
      <c r="N18" s="353"/>
      <c r="O18" s="353"/>
      <c r="P18" s="155"/>
      <c r="Q18" s="152"/>
      <c r="R18" s="152"/>
      <c r="S18" s="152"/>
      <c r="T18" s="152"/>
      <c r="U18" s="152"/>
      <c r="V18" s="152"/>
      <c r="W18" s="152"/>
      <c r="X18" s="152"/>
    </row>
    <row r="19" spans="1:24" ht="15" customHeight="1" thickBot="1">
      <c r="A19" s="296"/>
      <c r="B19" s="332"/>
      <c r="C19" s="354"/>
      <c r="D19" s="314"/>
      <c r="E19" s="303"/>
      <c r="F19" s="339"/>
      <c r="G19" s="339"/>
      <c r="H19" s="340"/>
      <c r="I19" s="340"/>
      <c r="J19" s="340"/>
      <c r="K19" s="340"/>
      <c r="L19" s="340"/>
      <c r="M19" s="340"/>
      <c r="N19" s="340"/>
      <c r="O19" s="341"/>
      <c r="P19" s="140"/>
      <c r="Q19" s="140"/>
      <c r="R19" s="140"/>
      <c r="S19" s="140"/>
      <c r="T19" s="140"/>
      <c r="U19" s="140"/>
      <c r="V19" s="140"/>
      <c r="W19" s="140"/>
      <c r="X19" s="140"/>
    </row>
    <row r="20" spans="1:24" ht="15" customHeight="1" thickBot="1">
      <c r="A20" s="296"/>
      <c r="B20" s="344" t="s">
        <v>52</v>
      </c>
      <c r="C20" s="355" t="s">
        <v>126</v>
      </c>
      <c r="D20" s="356" t="s">
        <v>127</v>
      </c>
      <c r="E20" s="344">
        <v>3</v>
      </c>
      <c r="F20" s="344">
        <v>10</v>
      </c>
      <c r="G20" s="344">
        <v>60</v>
      </c>
      <c r="H20" s="345"/>
      <c r="I20" s="346"/>
      <c r="J20" s="341"/>
      <c r="K20" s="341"/>
      <c r="L20" s="341"/>
      <c r="M20" s="341"/>
      <c r="N20" s="341"/>
      <c r="O20" s="341"/>
      <c r="P20" s="145"/>
      <c r="Q20" s="140"/>
      <c r="R20" s="140"/>
      <c r="S20" s="140"/>
      <c r="T20" s="140"/>
      <c r="U20" s="140"/>
      <c r="V20" s="140"/>
      <c r="W20" s="140"/>
      <c r="X20" s="140"/>
    </row>
    <row r="21" spans="1:24" ht="15" customHeight="1" thickBot="1">
      <c r="A21" s="296"/>
      <c r="B21" s="327" t="s">
        <v>53</v>
      </c>
      <c r="C21" s="355" t="s">
        <v>136</v>
      </c>
      <c r="D21" s="356" t="s">
        <v>128</v>
      </c>
      <c r="E21" s="350">
        <v>3</v>
      </c>
      <c r="F21" s="350">
        <v>15</v>
      </c>
      <c r="G21" s="350">
        <v>60</v>
      </c>
      <c r="H21" s="345"/>
      <c r="I21" s="346"/>
      <c r="J21" s="341"/>
      <c r="K21" s="341"/>
      <c r="L21" s="341"/>
      <c r="M21" s="341"/>
      <c r="N21" s="341"/>
      <c r="O21" s="341"/>
      <c r="P21" s="151"/>
      <c r="Q21" s="140"/>
      <c r="R21" s="140"/>
      <c r="S21" s="140"/>
      <c r="T21" s="140"/>
      <c r="U21" s="140"/>
      <c r="V21" s="140"/>
      <c r="W21" s="140"/>
      <c r="X21" s="140"/>
    </row>
    <row r="22" spans="1:24" ht="15" customHeight="1" thickBot="1">
      <c r="A22" s="296"/>
      <c r="B22" s="327"/>
      <c r="C22" s="347"/>
      <c r="D22" s="314"/>
      <c r="E22" s="303"/>
      <c r="F22" s="339"/>
      <c r="G22" s="339"/>
      <c r="H22" s="340"/>
      <c r="I22" s="340"/>
      <c r="J22" s="340"/>
      <c r="K22" s="340"/>
      <c r="L22" s="340"/>
      <c r="M22" s="340"/>
      <c r="N22" s="340"/>
      <c r="O22" s="341"/>
      <c r="P22" s="156"/>
      <c r="Q22" s="152"/>
      <c r="R22" s="152"/>
      <c r="S22" s="152"/>
      <c r="T22" s="152"/>
      <c r="U22" s="152"/>
      <c r="V22" s="152"/>
      <c r="W22" s="152"/>
      <c r="X22" s="152"/>
    </row>
    <row r="23" spans="1:24" ht="15" customHeight="1" thickBot="1">
      <c r="A23" s="296"/>
      <c r="B23" s="344" t="s">
        <v>55</v>
      </c>
      <c r="C23" s="355" t="s">
        <v>129</v>
      </c>
      <c r="D23" s="357" t="s">
        <v>130</v>
      </c>
      <c r="E23" s="327">
        <v>3</v>
      </c>
      <c r="F23" s="327">
        <v>10</v>
      </c>
      <c r="G23" s="327">
        <v>60</v>
      </c>
      <c r="H23" s="345"/>
      <c r="I23" s="346"/>
      <c r="J23" s="341"/>
      <c r="K23" s="341"/>
      <c r="L23" s="341"/>
      <c r="M23" s="341"/>
      <c r="N23" s="341"/>
      <c r="O23" s="341"/>
      <c r="P23" s="156"/>
      <c r="Q23" s="152"/>
      <c r="R23" s="152"/>
      <c r="S23" s="152"/>
      <c r="T23" s="152"/>
      <c r="U23" s="152"/>
      <c r="V23" s="152"/>
      <c r="W23" s="152"/>
      <c r="X23" s="152"/>
    </row>
    <row r="24" spans="1:24" ht="15" customHeight="1" thickBot="1">
      <c r="A24" s="296"/>
      <c r="B24" s="326" t="s">
        <v>60</v>
      </c>
      <c r="C24" s="358" t="s">
        <v>73</v>
      </c>
      <c r="D24" s="327" t="s">
        <v>131</v>
      </c>
      <c r="E24" s="344">
        <v>3</v>
      </c>
      <c r="F24" s="344">
        <v>12</v>
      </c>
      <c r="G24" s="344">
        <v>60</v>
      </c>
      <c r="H24" s="345"/>
      <c r="I24" s="346"/>
      <c r="J24" s="341"/>
      <c r="K24" s="341"/>
      <c r="L24" s="341"/>
      <c r="M24" s="341"/>
      <c r="N24" s="341"/>
      <c r="O24" s="341"/>
      <c r="P24" s="145"/>
      <c r="Q24" s="140"/>
      <c r="R24" s="140"/>
      <c r="S24" s="140"/>
      <c r="T24" s="140"/>
      <c r="U24" s="140"/>
      <c r="V24" s="140"/>
      <c r="W24" s="140"/>
      <c r="X24" s="140"/>
    </row>
    <row r="25" spans="1:24" ht="15" customHeight="1" thickBot="1">
      <c r="A25" s="296"/>
      <c r="B25" s="359" t="s">
        <v>62</v>
      </c>
      <c r="C25" s="360" t="s">
        <v>133</v>
      </c>
      <c r="D25" s="361" t="s">
        <v>132</v>
      </c>
      <c r="E25" s="350">
        <v>3</v>
      </c>
      <c r="F25" s="350">
        <v>10</v>
      </c>
      <c r="G25" s="350">
        <v>60</v>
      </c>
      <c r="H25" s="362"/>
      <c r="I25" s="352"/>
      <c r="J25" s="353"/>
      <c r="K25" s="353"/>
      <c r="L25" s="353"/>
      <c r="M25" s="353"/>
      <c r="N25" s="353"/>
      <c r="O25" s="353"/>
      <c r="P25" s="140"/>
      <c r="Q25" s="140"/>
      <c r="R25" s="140"/>
      <c r="S25" s="140"/>
      <c r="T25" s="140"/>
      <c r="U25" s="140"/>
      <c r="V25" s="140"/>
      <c r="W25" s="140"/>
      <c r="X25" s="140"/>
    </row>
    <row r="26" spans="1:24" ht="15" customHeight="1">
      <c r="A26" s="140"/>
      <c r="B26" s="157"/>
      <c r="C26" s="157"/>
      <c r="D26" s="158"/>
      <c r="E26" s="298"/>
      <c r="F26" s="158"/>
      <c r="G26" s="158"/>
      <c r="H26" s="159"/>
      <c r="I26" s="159"/>
      <c r="J26" s="159"/>
      <c r="K26" s="159"/>
      <c r="L26" s="159"/>
      <c r="M26" s="159"/>
      <c r="N26" s="159"/>
      <c r="O26" s="159"/>
      <c r="P26" s="140"/>
      <c r="Q26" s="140"/>
      <c r="R26" s="140"/>
      <c r="S26" s="140"/>
      <c r="T26" s="140"/>
      <c r="U26" s="140"/>
      <c r="V26" s="140"/>
      <c r="W26" s="140"/>
      <c r="X26" s="140"/>
    </row>
    <row r="27" spans="1:24" ht="14.25" customHeight="1">
      <c r="A27" s="140"/>
      <c r="B27" s="160" t="s">
        <v>56</v>
      </c>
      <c r="C27" s="152"/>
      <c r="D27" s="155"/>
      <c r="E27" s="152"/>
      <c r="F27" s="152"/>
      <c r="G27" s="152"/>
      <c r="H27" s="152"/>
      <c r="I27" s="152"/>
      <c r="J27" s="152"/>
      <c r="K27" s="152"/>
      <c r="L27" s="152"/>
      <c r="M27" s="152"/>
      <c r="N27" s="152"/>
      <c r="O27" s="152"/>
      <c r="P27" s="140"/>
      <c r="Q27" s="140"/>
      <c r="R27" s="140"/>
      <c r="S27" s="140"/>
      <c r="T27" s="140"/>
      <c r="U27" s="140"/>
      <c r="V27" s="140"/>
      <c r="W27" s="140"/>
      <c r="X27" s="140"/>
    </row>
    <row r="28" spans="1:24" ht="14.25" customHeight="1">
      <c r="A28" s="140"/>
      <c r="B28" s="160"/>
      <c r="C28" s="161"/>
      <c r="D28" s="267"/>
      <c r="E28" s="161"/>
      <c r="F28" s="161"/>
      <c r="G28" s="161"/>
      <c r="H28" s="161"/>
      <c r="I28" s="161"/>
      <c r="J28" s="161"/>
      <c r="K28" s="140"/>
      <c r="L28" s="140"/>
      <c r="M28" s="140"/>
      <c r="N28" s="140"/>
      <c r="O28" s="140"/>
      <c r="P28" s="140"/>
      <c r="Q28" s="140"/>
      <c r="R28" s="140"/>
      <c r="S28" s="140"/>
      <c r="T28" s="140"/>
      <c r="U28" s="140"/>
      <c r="V28" s="140"/>
      <c r="W28" s="140"/>
      <c r="X28" s="140"/>
    </row>
    <row r="29" spans="1:24" ht="14.25" customHeight="1">
      <c r="A29" s="150"/>
      <c r="B29" s="439" t="s">
        <v>79</v>
      </c>
      <c r="C29" s="440"/>
      <c r="D29" s="145"/>
      <c r="E29" s="140"/>
      <c r="F29" s="140"/>
      <c r="G29" s="140"/>
      <c r="H29" s="140"/>
      <c r="I29" s="140"/>
      <c r="J29" s="140"/>
      <c r="K29" s="140"/>
      <c r="L29" s="140"/>
      <c r="M29" s="140"/>
      <c r="N29" s="140"/>
      <c r="O29" s="140"/>
      <c r="P29" s="140"/>
      <c r="Q29" s="140"/>
      <c r="R29" s="140"/>
      <c r="S29" s="140"/>
      <c r="T29" s="140"/>
      <c r="U29" s="140"/>
      <c r="V29" s="140"/>
      <c r="W29" s="140"/>
      <c r="X29" s="140"/>
    </row>
    <row r="30" spans="1:24" ht="14.25" customHeight="1">
      <c r="A30" s="150"/>
      <c r="B30" s="299" t="s">
        <v>44</v>
      </c>
      <c r="C30" s="300" t="s">
        <v>45</v>
      </c>
      <c r="D30" s="300" t="s">
        <v>71</v>
      </c>
      <c r="E30" s="310" t="s">
        <v>46</v>
      </c>
      <c r="F30" s="310" t="s">
        <v>107</v>
      </c>
      <c r="G30" s="310" t="s">
        <v>47</v>
      </c>
      <c r="H30" s="310" t="s">
        <v>192</v>
      </c>
      <c r="I30" s="310" t="s">
        <v>193</v>
      </c>
      <c r="J30" s="310" t="s">
        <v>194</v>
      </c>
      <c r="K30" s="310" t="s">
        <v>195</v>
      </c>
      <c r="L30" s="310" t="s">
        <v>196</v>
      </c>
      <c r="M30" s="310" t="s">
        <v>197</v>
      </c>
      <c r="N30" s="310" t="s">
        <v>198</v>
      </c>
      <c r="O30" s="310" t="s">
        <v>199</v>
      </c>
      <c r="P30" s="140"/>
      <c r="Q30" s="140"/>
      <c r="R30" s="140"/>
      <c r="S30" s="140"/>
      <c r="T30" s="140"/>
      <c r="U30" s="140"/>
      <c r="V30" s="140"/>
      <c r="W30" s="140"/>
      <c r="X30" s="140"/>
    </row>
    <row r="31" spans="1:24" ht="14.25" customHeight="1">
      <c r="A31" s="150"/>
      <c r="B31" s="301" t="s">
        <v>83</v>
      </c>
      <c r="C31" s="302" t="s">
        <v>137</v>
      </c>
      <c r="D31" s="311" t="s">
        <v>138</v>
      </c>
      <c r="E31" s="312">
        <v>4</v>
      </c>
      <c r="F31" s="312">
        <v>8</v>
      </c>
      <c r="G31" s="312">
        <v>90</v>
      </c>
      <c r="H31" s="313"/>
      <c r="I31" s="313"/>
      <c r="J31" s="313"/>
      <c r="K31" s="313"/>
      <c r="L31" s="313"/>
      <c r="M31" s="313"/>
      <c r="N31" s="313"/>
      <c r="O31" s="313"/>
      <c r="P31" s="140"/>
      <c r="Q31" s="140"/>
      <c r="R31" s="140"/>
      <c r="S31" s="140"/>
      <c r="T31" s="140"/>
      <c r="U31" s="140"/>
      <c r="V31" s="140"/>
      <c r="W31" s="140"/>
      <c r="X31" s="140"/>
    </row>
    <row r="32" spans="1:24" ht="14.25" customHeight="1">
      <c r="A32" s="150"/>
      <c r="B32" s="303"/>
      <c r="C32" s="304"/>
      <c r="D32" s="314"/>
      <c r="E32" s="315"/>
      <c r="F32" s="315"/>
      <c r="G32" s="315"/>
      <c r="H32" s="316"/>
      <c r="I32" s="316"/>
      <c r="J32" s="316"/>
      <c r="K32" s="316"/>
      <c r="L32" s="316"/>
      <c r="M32" s="316"/>
      <c r="N32" s="316"/>
      <c r="O32" s="316"/>
      <c r="P32" s="140"/>
      <c r="Q32" s="140"/>
      <c r="R32" s="140"/>
      <c r="S32" s="140"/>
      <c r="T32" s="140"/>
      <c r="U32" s="140"/>
      <c r="V32" s="140"/>
      <c r="W32" s="140"/>
      <c r="X32" s="140"/>
    </row>
    <row r="33" spans="1:24" ht="14.25" customHeight="1">
      <c r="A33" s="150"/>
      <c r="B33" s="305" t="s">
        <v>82</v>
      </c>
      <c r="C33" s="302" t="s">
        <v>112</v>
      </c>
      <c r="D33" s="317" t="s">
        <v>139</v>
      </c>
      <c r="E33" s="312">
        <v>4</v>
      </c>
      <c r="F33" s="312">
        <v>5</v>
      </c>
      <c r="G33" s="312">
        <v>90</v>
      </c>
      <c r="H33" s="313"/>
      <c r="I33" s="313"/>
      <c r="J33" s="313"/>
      <c r="K33" s="313"/>
      <c r="L33" s="313"/>
      <c r="M33" s="313"/>
      <c r="N33" s="313"/>
      <c r="O33" s="313"/>
      <c r="P33" s="140"/>
      <c r="Q33" s="140"/>
      <c r="R33" s="140"/>
      <c r="S33" s="140"/>
      <c r="T33" s="140"/>
      <c r="U33" s="140"/>
      <c r="V33" s="140"/>
      <c r="W33" s="140"/>
      <c r="X33" s="140"/>
    </row>
    <row r="34" spans="1:24" ht="14.25" customHeight="1">
      <c r="A34" s="150"/>
      <c r="B34" s="306"/>
      <c r="C34" s="307"/>
      <c r="D34" s="308"/>
      <c r="E34" s="307"/>
      <c r="F34" s="307"/>
      <c r="G34" s="307"/>
      <c r="H34" s="318"/>
      <c r="I34" s="318"/>
      <c r="J34" s="318"/>
      <c r="K34" s="318"/>
      <c r="L34" s="318"/>
      <c r="M34" s="318"/>
      <c r="N34" s="318"/>
      <c r="O34" s="318"/>
      <c r="P34" s="140"/>
      <c r="Q34" s="140"/>
      <c r="R34" s="140"/>
      <c r="S34" s="140"/>
      <c r="T34" s="140"/>
      <c r="U34" s="140"/>
      <c r="V34" s="140"/>
      <c r="W34" s="140"/>
      <c r="X34" s="140"/>
    </row>
    <row r="35" spans="1:24" ht="14.25" customHeight="1">
      <c r="A35" s="150"/>
      <c r="B35" s="303" t="s">
        <v>50</v>
      </c>
      <c r="C35" s="302" t="s">
        <v>140</v>
      </c>
      <c r="D35" s="303" t="s">
        <v>141</v>
      </c>
      <c r="E35" s="312">
        <v>3</v>
      </c>
      <c r="F35" s="312">
        <v>12</v>
      </c>
      <c r="G35" s="312">
        <v>90</v>
      </c>
      <c r="H35" s="313"/>
      <c r="I35" s="313"/>
      <c r="J35" s="313"/>
      <c r="K35" s="313"/>
      <c r="L35" s="313"/>
      <c r="M35" s="313"/>
      <c r="N35" s="313"/>
      <c r="O35" s="313"/>
      <c r="P35" s="140"/>
      <c r="Q35" s="140"/>
      <c r="R35" s="140"/>
      <c r="S35" s="140"/>
      <c r="T35" s="140"/>
      <c r="U35" s="140"/>
      <c r="V35" s="140"/>
      <c r="W35" s="140"/>
      <c r="X35" s="140"/>
    </row>
    <row r="36" spans="1:24" ht="14.25" customHeight="1">
      <c r="A36" s="150"/>
      <c r="B36" s="303" t="s">
        <v>51</v>
      </c>
      <c r="C36" s="302" t="s">
        <v>88</v>
      </c>
      <c r="D36" s="303" t="s">
        <v>128</v>
      </c>
      <c r="E36" s="312">
        <v>3</v>
      </c>
      <c r="F36" s="312">
        <v>12</v>
      </c>
      <c r="G36" s="312">
        <v>90</v>
      </c>
      <c r="H36" s="313"/>
      <c r="I36" s="313"/>
      <c r="J36" s="313"/>
      <c r="K36" s="313"/>
      <c r="L36" s="313"/>
      <c r="M36" s="313"/>
      <c r="N36" s="313"/>
      <c r="O36" s="313"/>
      <c r="P36" s="140"/>
      <c r="Q36" s="140"/>
      <c r="R36" s="140"/>
      <c r="S36" s="140"/>
      <c r="T36" s="140"/>
      <c r="U36" s="140"/>
      <c r="V36" s="140"/>
      <c r="W36" s="140"/>
      <c r="X36" s="140"/>
    </row>
    <row r="37" spans="1:24" ht="14.25" customHeight="1">
      <c r="A37" s="150"/>
      <c r="B37" s="303"/>
      <c r="C37" s="308"/>
      <c r="D37" s="308"/>
      <c r="E37" s="308"/>
      <c r="F37" s="308"/>
      <c r="G37" s="308"/>
      <c r="H37" s="318"/>
      <c r="I37" s="318"/>
      <c r="J37" s="318"/>
      <c r="K37" s="318"/>
      <c r="L37" s="318"/>
      <c r="M37" s="318"/>
      <c r="N37" s="318"/>
      <c r="O37" s="318"/>
      <c r="P37" s="140"/>
      <c r="Q37" s="140"/>
      <c r="R37" s="140"/>
      <c r="S37" s="140"/>
      <c r="T37" s="140"/>
      <c r="U37" s="140"/>
      <c r="V37" s="140"/>
      <c r="W37" s="140"/>
      <c r="X37" s="140"/>
    </row>
    <row r="38" spans="1:24" ht="14.25" customHeight="1">
      <c r="A38" s="150"/>
      <c r="B38" s="303" t="s">
        <v>52</v>
      </c>
      <c r="C38" s="302" t="s">
        <v>59</v>
      </c>
      <c r="D38" s="303" t="s">
        <v>142</v>
      </c>
      <c r="E38" s="312">
        <v>3</v>
      </c>
      <c r="F38" s="312">
        <v>10</v>
      </c>
      <c r="G38" s="312">
        <v>60</v>
      </c>
      <c r="H38" s="313"/>
      <c r="I38" s="313"/>
      <c r="J38" s="313"/>
      <c r="K38" s="313"/>
      <c r="L38" s="313"/>
      <c r="M38" s="313"/>
      <c r="N38" s="313"/>
      <c r="O38" s="313"/>
      <c r="P38" s="140"/>
      <c r="Q38" s="140"/>
      <c r="R38" s="140"/>
      <c r="S38" s="140"/>
      <c r="T38" s="140"/>
      <c r="U38" s="140"/>
      <c r="V38" s="140"/>
      <c r="W38" s="140"/>
      <c r="X38" s="140"/>
    </row>
    <row r="39" spans="1:24" ht="14.25" customHeight="1">
      <c r="A39" s="150"/>
      <c r="B39" s="303" t="s">
        <v>53</v>
      </c>
      <c r="C39" s="302" t="s">
        <v>89</v>
      </c>
      <c r="D39" s="303" t="s">
        <v>143</v>
      </c>
      <c r="E39" s="312">
        <v>3</v>
      </c>
      <c r="F39" s="312">
        <v>15</v>
      </c>
      <c r="G39" s="312">
        <v>60</v>
      </c>
      <c r="H39" s="313"/>
      <c r="I39" s="313"/>
      <c r="J39" s="313"/>
      <c r="K39" s="313"/>
      <c r="L39" s="313"/>
      <c r="M39" s="313"/>
      <c r="N39" s="313"/>
      <c r="O39" s="313"/>
      <c r="P39" s="140"/>
      <c r="Q39" s="140"/>
      <c r="R39" s="140"/>
      <c r="S39" s="140"/>
      <c r="T39" s="140"/>
      <c r="U39" s="140"/>
      <c r="V39" s="140"/>
      <c r="W39" s="140"/>
      <c r="X39" s="140"/>
    </row>
    <row r="40" spans="1:24" ht="14.25" customHeight="1">
      <c r="A40" s="152"/>
      <c r="B40" s="303"/>
      <c r="C40" s="309"/>
      <c r="D40" s="308"/>
      <c r="E40" s="308"/>
      <c r="F40" s="308"/>
      <c r="G40" s="308"/>
      <c r="H40" s="318"/>
      <c r="I40" s="318"/>
      <c r="J40" s="318"/>
      <c r="K40" s="318"/>
      <c r="L40" s="318"/>
      <c r="M40" s="318"/>
      <c r="N40" s="318"/>
      <c r="O40" s="318"/>
      <c r="P40" s="152"/>
      <c r="Q40" s="152"/>
      <c r="R40" s="152"/>
      <c r="S40" s="152"/>
      <c r="T40" s="152"/>
      <c r="U40" s="152"/>
      <c r="V40" s="152"/>
      <c r="W40" s="152"/>
      <c r="X40" s="152"/>
    </row>
    <row r="41" spans="1:24" ht="14.25" customHeight="1">
      <c r="A41" s="152"/>
      <c r="B41" s="303" t="s">
        <v>55</v>
      </c>
      <c r="C41" s="302" t="s">
        <v>92</v>
      </c>
      <c r="D41" s="303" t="s">
        <v>146</v>
      </c>
      <c r="E41" s="312">
        <v>3</v>
      </c>
      <c r="F41" s="312">
        <v>15</v>
      </c>
      <c r="G41" s="312">
        <v>60</v>
      </c>
      <c r="H41" s="313"/>
      <c r="I41" s="313"/>
      <c r="J41" s="313"/>
      <c r="K41" s="313"/>
      <c r="L41" s="313"/>
      <c r="M41" s="313"/>
      <c r="N41" s="313"/>
      <c r="O41" s="313"/>
      <c r="P41" s="152"/>
      <c r="Q41" s="152"/>
      <c r="R41" s="152"/>
      <c r="S41" s="152"/>
      <c r="T41" s="152"/>
      <c r="U41" s="152"/>
      <c r="V41" s="152"/>
      <c r="W41" s="152"/>
      <c r="X41" s="152"/>
    </row>
    <row r="42" spans="1:24" ht="14.25" customHeight="1">
      <c r="A42" s="152"/>
      <c r="B42" s="303" t="s">
        <v>60</v>
      </c>
      <c r="C42" s="302" t="s">
        <v>144</v>
      </c>
      <c r="D42" s="303" t="s">
        <v>145</v>
      </c>
      <c r="E42" s="312">
        <v>3</v>
      </c>
      <c r="F42" s="312">
        <v>15</v>
      </c>
      <c r="G42" s="312">
        <v>60</v>
      </c>
      <c r="H42" s="313"/>
      <c r="I42" s="313"/>
      <c r="J42" s="313"/>
      <c r="K42" s="313"/>
      <c r="L42" s="313"/>
      <c r="M42" s="313"/>
      <c r="N42" s="313"/>
      <c r="O42" s="313"/>
      <c r="P42" s="152"/>
      <c r="Q42" s="152"/>
      <c r="R42" s="152"/>
      <c r="S42" s="152"/>
      <c r="T42" s="152"/>
      <c r="U42" s="152"/>
      <c r="V42" s="152"/>
      <c r="W42" s="152"/>
      <c r="X42" s="152"/>
    </row>
    <row r="43" spans="1:24" ht="14.25" customHeight="1">
      <c r="A43" s="150"/>
      <c r="B43" s="164"/>
      <c r="C43" s="158"/>
      <c r="D43" s="158"/>
      <c r="E43" s="158"/>
      <c r="F43" s="158"/>
      <c r="G43" s="158"/>
      <c r="H43" s="159"/>
      <c r="I43" s="159"/>
      <c r="J43" s="159"/>
      <c r="K43" s="159"/>
      <c r="L43" s="159"/>
      <c r="M43" s="159"/>
      <c r="N43" s="159"/>
      <c r="O43" s="159"/>
      <c r="P43" s="140"/>
      <c r="Q43" s="140"/>
      <c r="R43" s="140"/>
      <c r="S43" s="140"/>
      <c r="T43" s="140"/>
      <c r="U43" s="140"/>
      <c r="V43" s="140"/>
      <c r="W43" s="140"/>
      <c r="X43" s="140"/>
    </row>
    <row r="44" spans="1:24" ht="14.25" customHeight="1">
      <c r="A44" s="140"/>
      <c r="B44" s="160" t="s">
        <v>56</v>
      </c>
      <c r="C44" s="152"/>
      <c r="D44" s="155"/>
      <c r="E44" s="152"/>
      <c r="F44" s="152"/>
      <c r="G44" s="152"/>
      <c r="H44" s="152"/>
      <c r="I44" s="152"/>
      <c r="J44" s="152"/>
      <c r="K44" s="152"/>
      <c r="L44" s="152"/>
      <c r="M44" s="152"/>
      <c r="N44" s="152"/>
      <c r="O44" s="152"/>
      <c r="P44" s="140"/>
      <c r="Q44" s="140"/>
      <c r="R44" s="140"/>
      <c r="S44" s="140"/>
      <c r="T44" s="140"/>
      <c r="U44" s="140"/>
      <c r="V44" s="140"/>
      <c r="W44" s="140"/>
      <c r="X44" s="140"/>
    </row>
    <row r="45" spans="1:24" ht="14.25" customHeight="1">
      <c r="A45" s="140"/>
      <c r="B45" s="148"/>
      <c r="C45" s="140"/>
      <c r="D45" s="145"/>
      <c r="E45" s="140"/>
      <c r="F45" s="165"/>
      <c r="G45" s="146"/>
      <c r="H45" s="140"/>
      <c r="I45" s="140"/>
      <c r="J45" s="140"/>
      <c r="K45" s="140"/>
      <c r="L45" s="140"/>
      <c r="M45" s="140"/>
      <c r="N45" s="140"/>
      <c r="O45" s="140"/>
      <c r="P45" s="140"/>
      <c r="Q45" s="140"/>
      <c r="R45" s="140"/>
      <c r="S45" s="140"/>
      <c r="T45" s="140"/>
      <c r="U45" s="140"/>
      <c r="V45" s="140"/>
      <c r="W45" s="140"/>
      <c r="X45" s="140"/>
    </row>
    <row r="46" spans="1:24" ht="14.25" customHeight="1">
      <c r="A46" s="150"/>
      <c r="B46" s="439" t="s">
        <v>108</v>
      </c>
      <c r="C46" s="440"/>
      <c r="D46" s="145"/>
      <c r="E46" s="140"/>
      <c r="F46" s="140"/>
      <c r="G46" s="140"/>
      <c r="H46" s="140"/>
      <c r="I46" s="140"/>
      <c r="J46" s="140"/>
      <c r="K46" s="140"/>
      <c r="L46" s="140"/>
      <c r="M46" s="140"/>
      <c r="N46" s="140"/>
      <c r="O46" s="140"/>
      <c r="P46" s="140"/>
      <c r="Q46" s="140"/>
      <c r="R46" s="140"/>
      <c r="S46" s="140"/>
      <c r="T46" s="140"/>
      <c r="U46" s="140"/>
      <c r="V46" s="140"/>
      <c r="W46" s="140"/>
      <c r="X46" s="140"/>
    </row>
    <row r="47" spans="1:24" ht="14.25" customHeight="1">
      <c r="A47" s="150"/>
      <c r="B47" s="299" t="s">
        <v>44</v>
      </c>
      <c r="C47" s="300" t="s">
        <v>45</v>
      </c>
      <c r="D47" s="300" t="s">
        <v>71</v>
      </c>
      <c r="E47" s="310" t="s">
        <v>46</v>
      </c>
      <c r="F47" s="310" t="s">
        <v>107</v>
      </c>
      <c r="G47" s="310" t="s">
        <v>47</v>
      </c>
      <c r="H47" s="310" t="s">
        <v>192</v>
      </c>
      <c r="I47" s="310" t="s">
        <v>193</v>
      </c>
      <c r="J47" s="310" t="s">
        <v>194</v>
      </c>
      <c r="K47" s="310" t="s">
        <v>195</v>
      </c>
      <c r="L47" s="310" t="s">
        <v>196</v>
      </c>
      <c r="M47" s="310" t="s">
        <v>197</v>
      </c>
      <c r="N47" s="310" t="s">
        <v>198</v>
      </c>
      <c r="O47" s="310" t="s">
        <v>199</v>
      </c>
      <c r="P47" s="140"/>
      <c r="Q47" s="140"/>
      <c r="R47" s="140"/>
      <c r="S47" s="140"/>
      <c r="T47" s="140"/>
      <c r="U47" s="140"/>
      <c r="V47" s="140"/>
      <c r="W47" s="140"/>
      <c r="X47" s="140"/>
    </row>
    <row r="48" spans="1:24" ht="14.25" customHeight="1">
      <c r="A48" s="150"/>
      <c r="B48" s="301" t="s">
        <v>83</v>
      </c>
      <c r="C48" s="302" t="s">
        <v>58</v>
      </c>
      <c r="D48" s="311" t="s">
        <v>138</v>
      </c>
      <c r="E48" s="312">
        <v>4</v>
      </c>
      <c r="F48" s="312">
        <v>12</v>
      </c>
      <c r="G48" s="312">
        <v>90</v>
      </c>
      <c r="H48" s="313"/>
      <c r="I48" s="313"/>
      <c r="J48" s="313"/>
      <c r="K48" s="313"/>
      <c r="L48" s="313"/>
      <c r="M48" s="313"/>
      <c r="N48" s="313"/>
      <c r="O48" s="313"/>
      <c r="P48" s="140"/>
      <c r="Q48" s="140"/>
      <c r="R48" s="140"/>
      <c r="S48" s="140"/>
      <c r="T48" s="140"/>
      <c r="U48" s="140"/>
      <c r="V48" s="140"/>
      <c r="W48" s="140"/>
      <c r="X48" s="140"/>
    </row>
    <row r="49" spans="1:24" ht="14.25" customHeight="1">
      <c r="A49" s="150"/>
      <c r="B49" s="303"/>
      <c r="C49" s="309"/>
      <c r="D49" s="308"/>
      <c r="E49" s="315"/>
      <c r="F49" s="315"/>
      <c r="G49" s="315"/>
      <c r="H49" s="316"/>
      <c r="I49" s="316"/>
      <c r="J49" s="316"/>
      <c r="K49" s="316"/>
      <c r="L49" s="316"/>
      <c r="M49" s="316"/>
      <c r="N49" s="316"/>
      <c r="O49" s="316"/>
      <c r="P49" s="140"/>
      <c r="Q49" s="140"/>
      <c r="R49" s="140"/>
      <c r="S49" s="140"/>
      <c r="T49" s="140"/>
      <c r="U49" s="140"/>
      <c r="V49" s="140"/>
      <c r="W49" s="140"/>
      <c r="X49" s="140"/>
    </row>
    <row r="50" spans="1:24" ht="14.25" customHeight="1">
      <c r="A50" s="150"/>
      <c r="B50" s="305" t="s">
        <v>82</v>
      </c>
      <c r="C50" s="302" t="s">
        <v>64</v>
      </c>
      <c r="D50" s="303" t="s">
        <v>98</v>
      </c>
      <c r="E50" s="312">
        <v>4</v>
      </c>
      <c r="F50" s="312">
        <v>10</v>
      </c>
      <c r="G50" s="312">
        <v>90</v>
      </c>
      <c r="H50" s="313"/>
      <c r="I50" s="313"/>
      <c r="J50" s="313"/>
      <c r="K50" s="313"/>
      <c r="L50" s="313"/>
      <c r="M50" s="313"/>
      <c r="N50" s="313"/>
      <c r="O50" s="313"/>
      <c r="P50" s="140"/>
      <c r="Q50" s="140"/>
      <c r="R50" s="140"/>
      <c r="S50" s="140"/>
      <c r="T50" s="140"/>
      <c r="U50" s="140"/>
      <c r="V50" s="140"/>
      <c r="W50" s="140"/>
      <c r="X50" s="140"/>
    </row>
    <row r="51" spans="1:24" ht="14.25" customHeight="1">
      <c r="A51" s="152"/>
      <c r="B51" s="306"/>
      <c r="C51" s="309"/>
      <c r="D51" s="308"/>
      <c r="E51" s="307"/>
      <c r="F51" s="307"/>
      <c r="G51" s="307"/>
      <c r="H51" s="316"/>
      <c r="I51" s="318"/>
      <c r="J51" s="318"/>
      <c r="K51" s="318"/>
      <c r="L51" s="318"/>
      <c r="M51" s="318"/>
      <c r="N51" s="318"/>
      <c r="O51" s="318"/>
      <c r="P51" s="152"/>
      <c r="Q51" s="152"/>
      <c r="R51" s="152"/>
      <c r="S51" s="152"/>
      <c r="T51" s="152"/>
      <c r="U51" s="152"/>
      <c r="V51" s="152"/>
      <c r="W51" s="152"/>
      <c r="X51" s="152"/>
    </row>
    <row r="52" spans="1:24" ht="14.25" customHeight="1">
      <c r="A52" s="150"/>
      <c r="B52" s="303" t="s">
        <v>84</v>
      </c>
      <c r="C52" s="302" t="s">
        <v>99</v>
      </c>
      <c r="D52" s="317" t="s">
        <v>147</v>
      </c>
      <c r="E52" s="312">
        <v>3</v>
      </c>
      <c r="F52" s="312">
        <v>10</v>
      </c>
      <c r="G52" s="312">
        <v>90</v>
      </c>
      <c r="H52" s="313"/>
      <c r="I52" s="313"/>
      <c r="J52" s="313"/>
      <c r="K52" s="313"/>
      <c r="L52" s="313"/>
      <c r="M52" s="313"/>
      <c r="N52" s="313"/>
      <c r="O52" s="313"/>
      <c r="P52" s="140"/>
      <c r="Q52" s="140"/>
      <c r="R52" s="140"/>
      <c r="S52" s="140"/>
      <c r="T52" s="140"/>
      <c r="U52" s="140"/>
      <c r="V52" s="140"/>
      <c r="W52" s="140"/>
      <c r="X52" s="140"/>
    </row>
    <row r="53" spans="1:24" ht="14.25" customHeight="1">
      <c r="A53" s="150"/>
      <c r="B53" s="303"/>
      <c r="C53" s="309"/>
      <c r="D53" s="314"/>
      <c r="E53" s="308"/>
      <c r="F53" s="308"/>
      <c r="G53" s="308"/>
      <c r="H53" s="318"/>
      <c r="I53" s="318"/>
      <c r="J53" s="318"/>
      <c r="K53" s="318"/>
      <c r="L53" s="318"/>
      <c r="M53" s="318"/>
      <c r="N53" s="318"/>
      <c r="O53" s="318"/>
      <c r="P53" s="140"/>
      <c r="Q53" s="140"/>
      <c r="R53" s="140"/>
      <c r="S53" s="140"/>
      <c r="T53" s="140"/>
      <c r="U53" s="140"/>
      <c r="V53" s="140"/>
      <c r="W53" s="140"/>
      <c r="X53" s="140"/>
    </row>
    <row r="54" spans="1:24" ht="14.25" customHeight="1">
      <c r="A54" s="150"/>
      <c r="B54" s="306"/>
      <c r="C54" s="309"/>
      <c r="D54" s="308"/>
      <c r="E54" s="307"/>
      <c r="F54" s="307"/>
      <c r="G54" s="307"/>
      <c r="H54" s="318"/>
      <c r="I54" s="318"/>
      <c r="J54" s="318"/>
      <c r="K54" s="318"/>
      <c r="L54" s="318"/>
      <c r="M54" s="318"/>
      <c r="N54" s="318"/>
      <c r="O54" s="318"/>
      <c r="P54" s="140"/>
      <c r="Q54" s="140"/>
      <c r="R54" s="140"/>
      <c r="S54" s="140"/>
      <c r="T54" s="140"/>
      <c r="U54" s="140"/>
      <c r="V54" s="140"/>
      <c r="W54" s="140"/>
      <c r="X54" s="140"/>
    </row>
    <row r="55" spans="1:24" ht="14.25" customHeight="1">
      <c r="A55" s="150"/>
      <c r="B55" s="303" t="s">
        <v>52</v>
      </c>
      <c r="C55" s="302" t="s">
        <v>101</v>
      </c>
      <c r="D55" s="303" t="s">
        <v>150</v>
      </c>
      <c r="E55" s="312">
        <v>1</v>
      </c>
      <c r="F55" s="312">
        <v>25</v>
      </c>
      <c r="G55" s="312">
        <v>60</v>
      </c>
      <c r="H55" s="313"/>
      <c r="I55" s="313"/>
      <c r="J55" s="313"/>
      <c r="K55" s="313"/>
      <c r="L55" s="313"/>
      <c r="M55" s="313"/>
      <c r="N55" s="313"/>
      <c r="O55" s="313"/>
      <c r="P55" s="140"/>
      <c r="Q55" s="140"/>
      <c r="R55" s="140"/>
      <c r="S55" s="140"/>
      <c r="T55" s="140"/>
      <c r="U55" s="140"/>
      <c r="V55" s="140"/>
      <c r="W55" s="140"/>
      <c r="X55" s="140"/>
    </row>
    <row r="56" spans="1:24" ht="14.25" customHeight="1">
      <c r="A56" s="150"/>
      <c r="B56" s="303" t="s">
        <v>52</v>
      </c>
      <c r="C56" s="302" t="s">
        <v>101</v>
      </c>
      <c r="D56" s="303"/>
      <c r="E56" s="312">
        <v>1</v>
      </c>
      <c r="F56" s="312">
        <v>20</v>
      </c>
      <c r="G56" s="312">
        <v>60</v>
      </c>
      <c r="H56" s="313"/>
      <c r="I56" s="313"/>
      <c r="J56" s="313"/>
      <c r="K56" s="313"/>
      <c r="L56" s="313"/>
      <c r="M56" s="313"/>
      <c r="N56" s="313"/>
      <c r="O56" s="313"/>
      <c r="P56" s="140"/>
      <c r="Q56" s="140"/>
      <c r="R56" s="140"/>
      <c r="S56" s="140"/>
      <c r="T56" s="140"/>
      <c r="U56" s="140"/>
      <c r="V56" s="140"/>
      <c r="W56" s="140"/>
      <c r="X56" s="140"/>
    </row>
    <row r="57" spans="1:24" ht="14.25" customHeight="1">
      <c r="A57" s="150"/>
      <c r="B57" s="303" t="s">
        <v>52</v>
      </c>
      <c r="C57" s="302" t="s">
        <v>101</v>
      </c>
      <c r="D57" s="303"/>
      <c r="E57" s="312">
        <v>1</v>
      </c>
      <c r="F57" s="312">
        <v>15</v>
      </c>
      <c r="G57" s="312">
        <v>60</v>
      </c>
      <c r="H57" s="313"/>
      <c r="I57" s="313"/>
      <c r="J57" s="313"/>
      <c r="K57" s="313"/>
      <c r="L57" s="313"/>
      <c r="M57" s="313"/>
      <c r="N57" s="313"/>
      <c r="O57" s="313"/>
      <c r="P57" s="140"/>
      <c r="Q57" s="140"/>
      <c r="R57" s="140"/>
      <c r="S57" s="140"/>
      <c r="T57" s="140"/>
      <c r="U57" s="140"/>
      <c r="V57" s="140"/>
      <c r="W57" s="140"/>
      <c r="X57" s="140"/>
    </row>
    <row r="58" spans="1:24" ht="14.25" customHeight="1">
      <c r="A58" s="150"/>
      <c r="B58" s="303" t="s">
        <v>53</v>
      </c>
      <c r="C58" s="302" t="s">
        <v>148</v>
      </c>
      <c r="D58" s="303" t="s">
        <v>150</v>
      </c>
      <c r="E58" s="312">
        <v>1</v>
      </c>
      <c r="F58" s="312">
        <v>25</v>
      </c>
      <c r="G58" s="312">
        <v>60</v>
      </c>
      <c r="H58" s="313"/>
      <c r="I58" s="313"/>
      <c r="J58" s="313"/>
      <c r="K58" s="313"/>
      <c r="L58" s="313"/>
      <c r="M58" s="313"/>
      <c r="N58" s="313"/>
      <c r="O58" s="313"/>
      <c r="P58" s="140"/>
      <c r="Q58" s="140"/>
      <c r="R58" s="140"/>
      <c r="S58" s="140"/>
      <c r="T58" s="140"/>
      <c r="U58" s="140"/>
      <c r="V58" s="140"/>
      <c r="W58" s="140"/>
      <c r="X58" s="140"/>
    </row>
    <row r="59" spans="1:24" ht="14.25" customHeight="1">
      <c r="A59" s="150"/>
      <c r="B59" s="303" t="s">
        <v>53</v>
      </c>
      <c r="C59" s="302" t="s">
        <v>148</v>
      </c>
      <c r="D59" s="303"/>
      <c r="E59" s="312">
        <v>1</v>
      </c>
      <c r="F59" s="312">
        <v>20</v>
      </c>
      <c r="G59" s="312">
        <v>60</v>
      </c>
      <c r="H59" s="313"/>
      <c r="I59" s="313"/>
      <c r="J59" s="313"/>
      <c r="K59" s="313"/>
      <c r="L59" s="313"/>
      <c r="M59" s="313"/>
      <c r="N59" s="313"/>
      <c r="O59" s="313"/>
      <c r="P59" s="140"/>
      <c r="Q59" s="140"/>
      <c r="R59" s="140"/>
      <c r="S59" s="140"/>
      <c r="T59" s="140"/>
      <c r="U59" s="140"/>
      <c r="V59" s="140"/>
      <c r="W59" s="140"/>
      <c r="X59" s="140"/>
    </row>
    <row r="60" spans="1:24" ht="14.25" customHeight="1">
      <c r="A60" s="150"/>
      <c r="B60" s="303" t="s">
        <v>53</v>
      </c>
      <c r="C60" s="302" t="s">
        <v>148</v>
      </c>
      <c r="D60" s="303"/>
      <c r="E60" s="312">
        <v>1</v>
      </c>
      <c r="F60" s="312">
        <v>15</v>
      </c>
      <c r="G60" s="312">
        <v>60</v>
      </c>
      <c r="H60" s="313"/>
      <c r="I60" s="313"/>
      <c r="J60" s="313"/>
      <c r="K60" s="313"/>
      <c r="L60" s="313"/>
      <c r="M60" s="313"/>
      <c r="N60" s="313"/>
      <c r="O60" s="313"/>
      <c r="P60" s="140"/>
      <c r="Q60" s="140"/>
      <c r="R60" s="140"/>
      <c r="S60" s="140"/>
      <c r="T60" s="140"/>
      <c r="U60" s="140"/>
      <c r="V60" s="140"/>
      <c r="W60" s="140"/>
      <c r="X60" s="140"/>
    </row>
    <row r="61" spans="1:24" ht="14.25" customHeight="1">
      <c r="A61" s="152"/>
      <c r="B61" s="303"/>
      <c r="C61" s="309"/>
      <c r="D61" s="308"/>
      <c r="E61" s="308"/>
      <c r="F61" s="308"/>
      <c r="G61" s="308"/>
      <c r="H61" s="318"/>
      <c r="I61" s="318"/>
      <c r="J61" s="318"/>
      <c r="K61" s="318"/>
      <c r="L61" s="318"/>
      <c r="M61" s="318"/>
      <c r="N61" s="318"/>
      <c r="O61" s="318"/>
      <c r="P61" s="152"/>
      <c r="Q61" s="152"/>
      <c r="R61" s="152"/>
      <c r="S61" s="152"/>
      <c r="T61" s="152"/>
      <c r="U61" s="152"/>
      <c r="V61" s="152"/>
      <c r="W61" s="152"/>
      <c r="X61" s="152"/>
    </row>
    <row r="62" spans="1:24" ht="14.25" customHeight="1">
      <c r="A62" s="150"/>
      <c r="B62" s="303" t="s">
        <v>55</v>
      </c>
      <c r="C62" s="302" t="s">
        <v>104</v>
      </c>
      <c r="D62" s="441" t="s">
        <v>152</v>
      </c>
      <c r="E62" s="312">
        <v>3</v>
      </c>
      <c r="F62" s="312">
        <v>10</v>
      </c>
      <c r="G62" s="312">
        <v>60</v>
      </c>
      <c r="H62" s="313"/>
      <c r="I62" s="313"/>
      <c r="J62" s="313"/>
      <c r="K62" s="313"/>
      <c r="L62" s="313"/>
      <c r="M62" s="313"/>
      <c r="N62" s="313"/>
      <c r="O62" s="313"/>
      <c r="P62" s="140"/>
      <c r="Q62" s="140"/>
      <c r="R62" s="140"/>
      <c r="S62" s="140"/>
      <c r="T62" s="140"/>
      <c r="U62" s="140"/>
      <c r="V62" s="140"/>
      <c r="W62" s="140"/>
      <c r="X62" s="140"/>
    </row>
    <row r="63" spans="1:24" ht="14.25" customHeight="1">
      <c r="A63" s="152"/>
      <c r="B63" s="303"/>
      <c r="C63" s="309"/>
      <c r="D63" s="442"/>
      <c r="E63" s="308"/>
      <c r="F63" s="308"/>
      <c r="G63" s="308"/>
      <c r="H63" s="318"/>
      <c r="I63" s="318"/>
      <c r="J63" s="318"/>
      <c r="K63" s="318"/>
      <c r="L63" s="318"/>
      <c r="M63" s="318"/>
      <c r="N63" s="318"/>
      <c r="O63" s="318"/>
      <c r="P63" s="152"/>
      <c r="Q63" s="152"/>
      <c r="R63" s="152"/>
      <c r="S63" s="152"/>
      <c r="T63" s="152"/>
      <c r="U63" s="152"/>
      <c r="V63" s="152"/>
      <c r="W63" s="152"/>
      <c r="X63" s="152"/>
    </row>
    <row r="64" spans="1:24" ht="14.25" customHeight="1">
      <c r="A64" s="150"/>
      <c r="B64" s="303" t="s">
        <v>60</v>
      </c>
      <c r="C64" s="302" t="s">
        <v>151</v>
      </c>
      <c r="D64" s="441" t="s">
        <v>153</v>
      </c>
      <c r="E64" s="312">
        <v>3</v>
      </c>
      <c r="F64" s="312">
        <v>15</v>
      </c>
      <c r="G64" s="312">
        <v>60</v>
      </c>
      <c r="H64" s="313"/>
      <c r="I64" s="313"/>
      <c r="J64" s="313"/>
      <c r="K64" s="313"/>
      <c r="L64" s="313"/>
      <c r="M64" s="313"/>
      <c r="N64" s="313"/>
      <c r="O64" s="313"/>
      <c r="P64" s="140"/>
      <c r="Q64" s="140"/>
      <c r="R64" s="140"/>
      <c r="S64" s="140"/>
      <c r="T64" s="140"/>
      <c r="U64" s="140"/>
      <c r="V64" s="140"/>
      <c r="W64" s="140"/>
      <c r="X64" s="140"/>
    </row>
    <row r="65" spans="1:24" ht="14.25" customHeight="1">
      <c r="A65" s="150"/>
      <c r="B65" s="303"/>
      <c r="C65" s="309"/>
      <c r="D65" s="442"/>
      <c r="E65" s="308"/>
      <c r="F65" s="308"/>
      <c r="G65" s="308"/>
      <c r="H65" s="318"/>
      <c r="I65" s="318"/>
      <c r="J65" s="318"/>
      <c r="K65" s="318"/>
      <c r="L65" s="318"/>
      <c r="M65" s="318"/>
      <c r="N65" s="318"/>
      <c r="O65" s="318"/>
      <c r="P65" s="140"/>
      <c r="Q65" s="140"/>
      <c r="R65" s="140"/>
      <c r="S65" s="140"/>
      <c r="T65" s="140"/>
      <c r="U65" s="140"/>
      <c r="V65" s="140"/>
      <c r="W65" s="140"/>
      <c r="X65" s="140"/>
    </row>
    <row r="66" spans="1:24" ht="14.25" customHeight="1">
      <c r="A66" s="150"/>
      <c r="B66" s="162"/>
      <c r="C66" s="163"/>
      <c r="D66" s="268"/>
      <c r="E66" s="153"/>
      <c r="F66" s="153"/>
      <c r="G66" s="153"/>
      <c r="H66" s="154"/>
      <c r="I66" s="159"/>
      <c r="J66" s="159"/>
      <c r="K66" s="159"/>
      <c r="L66" s="159"/>
      <c r="M66" s="159"/>
      <c r="N66" s="159"/>
      <c r="O66" s="159"/>
      <c r="P66" s="140"/>
      <c r="Q66" s="140"/>
      <c r="R66" s="140"/>
      <c r="S66" s="140"/>
      <c r="T66" s="140"/>
      <c r="U66" s="140"/>
      <c r="V66" s="140"/>
      <c r="W66" s="140"/>
      <c r="X66" s="140"/>
    </row>
    <row r="67" spans="1:24" ht="14.25" customHeight="1">
      <c r="A67" s="140"/>
      <c r="B67" s="160" t="s">
        <v>56</v>
      </c>
      <c r="C67" s="152"/>
      <c r="D67" s="155"/>
      <c r="E67" s="152"/>
      <c r="F67" s="152"/>
      <c r="G67" s="152"/>
      <c r="H67" s="152"/>
      <c r="I67" s="152"/>
      <c r="J67" s="152"/>
      <c r="K67" s="152"/>
      <c r="L67" s="152"/>
      <c r="M67" s="152"/>
      <c r="N67" s="152"/>
      <c r="O67" s="152"/>
      <c r="P67" s="140"/>
      <c r="Q67" s="140"/>
      <c r="R67" s="140"/>
      <c r="S67" s="140"/>
      <c r="T67" s="140"/>
      <c r="U67" s="140"/>
      <c r="V67" s="140"/>
      <c r="W67" s="140"/>
      <c r="X67" s="140"/>
    </row>
    <row r="68" spans="1:24" ht="14.25" customHeight="1">
      <c r="A68" s="152"/>
      <c r="B68" s="160"/>
      <c r="C68" s="152"/>
      <c r="D68" s="155"/>
      <c r="E68" s="152"/>
      <c r="F68" s="152"/>
      <c r="G68" s="152"/>
      <c r="H68" s="152"/>
      <c r="I68" s="152"/>
      <c r="J68" s="152"/>
      <c r="K68" s="152"/>
      <c r="L68" s="152"/>
      <c r="M68" s="152"/>
      <c r="N68" s="152"/>
      <c r="O68" s="152"/>
      <c r="P68" s="152"/>
      <c r="Q68" s="152"/>
      <c r="R68" s="152"/>
      <c r="S68" s="152"/>
      <c r="T68" s="152"/>
      <c r="U68" s="152"/>
      <c r="V68" s="152"/>
      <c r="W68" s="152"/>
      <c r="X68" s="152"/>
    </row>
    <row r="69" spans="1:24" ht="14.25" customHeight="1">
      <c r="A69" s="150"/>
      <c r="B69" s="439" t="s">
        <v>154</v>
      </c>
      <c r="C69" s="440"/>
      <c r="D69" s="145"/>
      <c r="E69" s="140"/>
      <c r="F69" s="140"/>
      <c r="G69" s="140"/>
      <c r="H69" s="140"/>
      <c r="I69" s="140"/>
      <c r="J69" s="140"/>
      <c r="K69" s="140"/>
      <c r="L69" s="140"/>
      <c r="M69" s="140"/>
      <c r="N69" s="140"/>
      <c r="O69" s="140"/>
      <c r="P69" s="140"/>
      <c r="Q69" s="140"/>
      <c r="R69" s="140"/>
      <c r="S69" s="140"/>
      <c r="T69" s="140"/>
      <c r="U69" s="140"/>
      <c r="V69" s="140"/>
      <c r="W69" s="140"/>
      <c r="X69" s="140"/>
    </row>
    <row r="70" spans="1:24" ht="14.25" customHeight="1">
      <c r="A70" s="150"/>
      <c r="B70" s="299" t="s">
        <v>44</v>
      </c>
      <c r="C70" s="300" t="s">
        <v>45</v>
      </c>
      <c r="D70" s="300" t="s">
        <v>71</v>
      </c>
      <c r="E70" s="310" t="s">
        <v>46</v>
      </c>
      <c r="F70" s="310" t="s">
        <v>107</v>
      </c>
      <c r="G70" s="310" t="s">
        <v>47</v>
      </c>
      <c r="H70" s="310" t="s">
        <v>192</v>
      </c>
      <c r="I70" s="310" t="s">
        <v>193</v>
      </c>
      <c r="J70" s="310" t="s">
        <v>194</v>
      </c>
      <c r="K70" s="310" t="s">
        <v>195</v>
      </c>
      <c r="L70" s="310" t="s">
        <v>196</v>
      </c>
      <c r="M70" s="310" t="s">
        <v>197</v>
      </c>
      <c r="N70" s="310" t="s">
        <v>198</v>
      </c>
      <c r="O70" s="310" t="s">
        <v>199</v>
      </c>
      <c r="P70" s="140"/>
      <c r="Q70" s="140"/>
      <c r="R70" s="140"/>
      <c r="S70" s="140"/>
      <c r="T70" s="140"/>
      <c r="U70" s="140"/>
      <c r="V70" s="140"/>
      <c r="W70" s="140"/>
      <c r="X70" s="140"/>
    </row>
    <row r="71" spans="1:24" ht="14.25" customHeight="1">
      <c r="A71" s="150"/>
      <c r="B71" s="301" t="s">
        <v>83</v>
      </c>
      <c r="C71" s="302" t="s">
        <v>155</v>
      </c>
      <c r="D71" s="363" t="s">
        <v>138</v>
      </c>
      <c r="E71" s="312">
        <v>4</v>
      </c>
      <c r="F71" s="312">
        <v>15</v>
      </c>
      <c r="G71" s="312">
        <v>90</v>
      </c>
      <c r="H71" s="313"/>
      <c r="I71" s="313"/>
      <c r="J71" s="313"/>
      <c r="K71" s="313"/>
      <c r="L71" s="313"/>
      <c r="M71" s="313"/>
      <c r="N71" s="313"/>
      <c r="O71" s="313"/>
      <c r="P71" s="140"/>
      <c r="Q71" s="140"/>
      <c r="R71" s="140"/>
      <c r="S71" s="140"/>
      <c r="T71" s="140"/>
      <c r="U71" s="140"/>
      <c r="V71" s="140"/>
      <c r="W71" s="140"/>
      <c r="X71" s="140"/>
    </row>
    <row r="72" spans="1:24" ht="14.25" customHeight="1">
      <c r="A72" s="150"/>
      <c r="B72" s="303"/>
      <c r="C72" s="309"/>
      <c r="D72" s="308"/>
      <c r="E72" s="315"/>
      <c r="F72" s="315"/>
      <c r="G72" s="315"/>
      <c r="H72" s="316"/>
      <c r="I72" s="316"/>
      <c r="J72" s="316"/>
      <c r="K72" s="316"/>
      <c r="L72" s="316"/>
      <c r="M72" s="316"/>
      <c r="N72" s="316"/>
      <c r="O72" s="316"/>
      <c r="P72" s="140"/>
      <c r="Q72" s="140"/>
      <c r="R72" s="140"/>
      <c r="S72" s="140"/>
      <c r="T72" s="140"/>
      <c r="U72" s="140"/>
      <c r="V72" s="140"/>
      <c r="W72" s="140"/>
      <c r="X72" s="140"/>
    </row>
    <row r="73" spans="1:24" ht="14.25" customHeight="1">
      <c r="A73" s="150"/>
      <c r="B73" s="305" t="s">
        <v>82</v>
      </c>
      <c r="C73" s="302" t="s">
        <v>65</v>
      </c>
      <c r="D73" s="441" t="s">
        <v>157</v>
      </c>
      <c r="E73" s="312">
        <v>4</v>
      </c>
      <c r="F73" s="364" t="s">
        <v>156</v>
      </c>
      <c r="G73" s="312">
        <v>90</v>
      </c>
      <c r="H73" s="313"/>
      <c r="I73" s="313"/>
      <c r="J73" s="313"/>
      <c r="K73" s="313"/>
      <c r="L73" s="313"/>
      <c r="M73" s="313"/>
      <c r="N73" s="313"/>
      <c r="O73" s="313"/>
      <c r="P73" s="140"/>
      <c r="Q73" s="140"/>
      <c r="R73" s="140"/>
      <c r="S73" s="140"/>
      <c r="T73" s="140"/>
      <c r="U73" s="140"/>
      <c r="V73" s="140"/>
      <c r="W73" s="140"/>
      <c r="X73" s="140"/>
    </row>
    <row r="74" spans="1:24" ht="14.25" customHeight="1">
      <c r="A74" s="150"/>
      <c r="B74" s="306"/>
      <c r="C74" s="309"/>
      <c r="D74" s="442"/>
      <c r="E74" s="307"/>
      <c r="F74" s="307"/>
      <c r="G74" s="307"/>
      <c r="H74" s="318"/>
      <c r="I74" s="318"/>
      <c r="J74" s="318"/>
      <c r="K74" s="318"/>
      <c r="L74" s="318"/>
      <c r="M74" s="318"/>
      <c r="N74" s="318"/>
      <c r="O74" s="318"/>
      <c r="P74" s="140"/>
      <c r="Q74" s="140"/>
      <c r="R74" s="140"/>
      <c r="S74" s="140"/>
      <c r="T74" s="140"/>
      <c r="U74" s="140"/>
      <c r="V74" s="140"/>
      <c r="W74" s="140"/>
      <c r="X74" s="140"/>
    </row>
    <row r="75" spans="1:24" ht="14.25" customHeight="1">
      <c r="A75" s="152"/>
      <c r="B75" s="306"/>
      <c r="C75" s="309"/>
      <c r="D75" s="314"/>
      <c r="E75" s="307"/>
      <c r="F75" s="307"/>
      <c r="G75" s="307"/>
      <c r="H75" s="318"/>
      <c r="I75" s="318"/>
      <c r="J75" s="318"/>
      <c r="K75" s="318"/>
      <c r="L75" s="318"/>
      <c r="M75" s="318"/>
      <c r="N75" s="318"/>
      <c r="O75" s="318"/>
      <c r="P75" s="152"/>
      <c r="Q75" s="152"/>
      <c r="R75" s="152"/>
      <c r="S75" s="152"/>
      <c r="T75" s="152"/>
      <c r="U75" s="152"/>
      <c r="V75" s="152"/>
      <c r="W75" s="152"/>
      <c r="X75" s="152"/>
    </row>
    <row r="76" spans="1:24" ht="14.25" customHeight="1">
      <c r="A76" s="150"/>
      <c r="B76" s="303" t="s">
        <v>84</v>
      </c>
      <c r="C76" s="302" t="s">
        <v>158</v>
      </c>
      <c r="D76" s="441" t="s">
        <v>169</v>
      </c>
      <c r="E76" s="312">
        <v>3</v>
      </c>
      <c r="F76" s="312">
        <v>15</v>
      </c>
      <c r="G76" s="312">
        <v>90</v>
      </c>
      <c r="H76" s="313"/>
      <c r="I76" s="313"/>
      <c r="J76" s="313"/>
      <c r="K76" s="313"/>
      <c r="L76" s="313"/>
      <c r="M76" s="313"/>
      <c r="N76" s="313"/>
      <c r="O76" s="313"/>
      <c r="P76" s="140"/>
      <c r="Q76" s="140"/>
      <c r="R76" s="140"/>
      <c r="S76" s="140"/>
      <c r="T76" s="140"/>
      <c r="U76" s="140"/>
      <c r="V76" s="140"/>
      <c r="W76" s="140"/>
      <c r="X76" s="140"/>
    </row>
    <row r="77" spans="1:24" ht="14.25" customHeight="1">
      <c r="A77" s="150"/>
      <c r="B77" s="303"/>
      <c r="C77" s="309"/>
      <c r="D77" s="442"/>
      <c r="E77" s="308"/>
      <c r="F77" s="308"/>
      <c r="G77" s="308"/>
      <c r="H77" s="316"/>
      <c r="I77" s="318"/>
      <c r="J77" s="318"/>
      <c r="K77" s="318"/>
      <c r="L77" s="318"/>
      <c r="M77" s="318"/>
      <c r="N77" s="318"/>
      <c r="O77" s="318"/>
      <c r="P77" s="140"/>
      <c r="Q77" s="140"/>
      <c r="R77" s="140"/>
      <c r="S77" s="140"/>
      <c r="T77" s="140"/>
      <c r="U77" s="140"/>
      <c r="V77" s="140"/>
      <c r="W77" s="140"/>
      <c r="X77" s="140"/>
    </row>
    <row r="78" spans="1:24" ht="14.25" customHeight="1">
      <c r="A78" s="150"/>
      <c r="B78" s="306"/>
      <c r="C78" s="309"/>
      <c r="D78" s="442"/>
      <c r="E78" s="307"/>
      <c r="F78" s="307"/>
      <c r="G78" s="307"/>
      <c r="H78" s="318"/>
      <c r="I78" s="318"/>
      <c r="J78" s="318"/>
      <c r="K78" s="318"/>
      <c r="L78" s="318"/>
      <c r="M78" s="318"/>
      <c r="N78" s="318"/>
      <c r="O78" s="318"/>
      <c r="P78" s="140"/>
      <c r="Q78" s="140"/>
      <c r="R78" s="140"/>
      <c r="S78" s="140"/>
      <c r="T78" s="140"/>
      <c r="U78" s="140"/>
      <c r="V78" s="140"/>
      <c r="W78" s="140"/>
      <c r="X78" s="140"/>
    </row>
    <row r="79" spans="1:24" ht="14.25" customHeight="1">
      <c r="A79" s="152"/>
      <c r="B79" s="306"/>
      <c r="C79" s="309"/>
      <c r="D79" s="314"/>
      <c r="E79" s="307"/>
      <c r="F79" s="307"/>
      <c r="G79" s="307"/>
      <c r="H79" s="318"/>
      <c r="I79" s="318"/>
      <c r="J79" s="318"/>
      <c r="K79" s="318"/>
      <c r="L79" s="318"/>
      <c r="M79" s="318"/>
      <c r="N79" s="318"/>
      <c r="O79" s="318"/>
      <c r="P79" s="152"/>
      <c r="Q79" s="152"/>
      <c r="R79" s="152"/>
      <c r="S79" s="152"/>
      <c r="T79" s="152"/>
      <c r="U79" s="152"/>
      <c r="V79" s="152"/>
      <c r="W79" s="152"/>
      <c r="X79" s="152"/>
    </row>
    <row r="80" spans="1:24" ht="14.25" customHeight="1">
      <c r="A80" s="150"/>
      <c r="B80" s="303" t="s">
        <v>52</v>
      </c>
      <c r="C80" s="302" t="s">
        <v>159</v>
      </c>
      <c r="D80" s="303" t="s">
        <v>164</v>
      </c>
      <c r="E80" s="312">
        <v>3</v>
      </c>
      <c r="F80" s="312">
        <v>15</v>
      </c>
      <c r="G80" s="312">
        <v>60</v>
      </c>
      <c r="H80" s="313"/>
      <c r="I80" s="313"/>
      <c r="J80" s="313"/>
      <c r="K80" s="313"/>
      <c r="L80" s="313"/>
      <c r="M80" s="313"/>
      <c r="N80" s="313"/>
      <c r="O80" s="313"/>
      <c r="P80" s="140"/>
      <c r="Q80" s="140"/>
      <c r="R80" s="140"/>
      <c r="S80" s="140"/>
      <c r="T80" s="140"/>
      <c r="U80" s="140"/>
      <c r="V80" s="140"/>
      <c r="W80" s="140"/>
      <c r="X80" s="140"/>
    </row>
    <row r="81" spans="1:24" ht="14.25" customHeight="1">
      <c r="A81" s="150"/>
      <c r="B81" s="303" t="s">
        <v>53</v>
      </c>
      <c r="C81" s="302" t="s">
        <v>160</v>
      </c>
      <c r="D81" s="303" t="s">
        <v>161</v>
      </c>
      <c r="E81" s="312">
        <v>3</v>
      </c>
      <c r="F81" s="312">
        <v>15</v>
      </c>
      <c r="G81" s="312">
        <v>60</v>
      </c>
      <c r="H81" s="313"/>
      <c r="I81" s="313"/>
      <c r="J81" s="313"/>
      <c r="K81" s="313"/>
      <c r="L81" s="313"/>
      <c r="M81" s="313"/>
      <c r="N81" s="313"/>
      <c r="O81" s="313"/>
      <c r="P81" s="140"/>
      <c r="Q81" s="140"/>
      <c r="R81" s="140"/>
      <c r="S81" s="140"/>
      <c r="T81" s="140"/>
      <c r="U81" s="140"/>
      <c r="V81" s="140"/>
      <c r="W81" s="140"/>
      <c r="X81" s="140"/>
    </row>
    <row r="82" spans="1:24" ht="14.25" customHeight="1">
      <c r="A82" s="150"/>
      <c r="B82" s="303"/>
      <c r="C82" s="303"/>
      <c r="D82" s="308"/>
      <c r="E82" s="308"/>
      <c r="F82" s="308"/>
      <c r="G82" s="308"/>
      <c r="H82" s="318"/>
      <c r="I82" s="318"/>
      <c r="J82" s="318"/>
      <c r="K82" s="318"/>
      <c r="L82" s="318"/>
      <c r="M82" s="318"/>
      <c r="N82" s="318"/>
      <c r="O82" s="318"/>
      <c r="P82" s="140"/>
      <c r="Q82" s="140"/>
      <c r="R82" s="140"/>
      <c r="S82" s="140"/>
      <c r="T82" s="140"/>
      <c r="U82" s="140"/>
      <c r="V82" s="140"/>
      <c r="W82" s="140"/>
      <c r="X82" s="140"/>
    </row>
    <row r="83" spans="1:24" ht="14.25" customHeight="1">
      <c r="A83" s="150"/>
      <c r="B83" s="303" t="s">
        <v>168</v>
      </c>
      <c r="C83" s="302" t="s">
        <v>162</v>
      </c>
      <c r="D83" s="441" t="s">
        <v>163</v>
      </c>
      <c r="E83" s="312">
        <v>3</v>
      </c>
      <c r="F83" s="364" t="s">
        <v>156</v>
      </c>
      <c r="G83" s="312">
        <v>60</v>
      </c>
      <c r="H83" s="313"/>
      <c r="I83" s="313"/>
      <c r="J83" s="313"/>
      <c r="K83" s="313"/>
      <c r="L83" s="313"/>
      <c r="M83" s="313"/>
      <c r="N83" s="313"/>
      <c r="O83" s="313"/>
      <c r="P83" s="140"/>
      <c r="Q83" s="140"/>
      <c r="R83" s="140"/>
      <c r="S83" s="140"/>
      <c r="T83" s="140"/>
      <c r="U83" s="140"/>
      <c r="V83" s="140"/>
      <c r="W83" s="140"/>
      <c r="X83" s="140"/>
    </row>
    <row r="84" spans="1:24" ht="14.25" customHeight="1">
      <c r="A84" s="152"/>
      <c r="B84" s="303"/>
      <c r="C84" s="309"/>
      <c r="D84" s="442"/>
      <c r="E84" s="308"/>
      <c r="F84" s="365"/>
      <c r="G84" s="308"/>
      <c r="H84" s="318"/>
      <c r="I84" s="318"/>
      <c r="J84" s="318"/>
      <c r="K84" s="318"/>
      <c r="L84" s="318"/>
      <c r="M84" s="318"/>
      <c r="N84" s="318"/>
      <c r="O84" s="318"/>
      <c r="P84" s="152"/>
      <c r="Q84" s="152"/>
      <c r="R84" s="152"/>
      <c r="S84" s="152"/>
      <c r="T84" s="152"/>
      <c r="U84" s="152"/>
      <c r="V84" s="152"/>
      <c r="W84" s="152"/>
      <c r="X84" s="152"/>
    </row>
    <row r="85" spans="1:24" ht="14.25" customHeight="1">
      <c r="A85" s="152"/>
      <c r="B85" s="303"/>
      <c r="C85" s="309"/>
      <c r="D85" s="314"/>
      <c r="E85" s="308"/>
      <c r="F85" s="365"/>
      <c r="G85" s="308"/>
      <c r="H85" s="318"/>
      <c r="I85" s="318"/>
      <c r="J85" s="318"/>
      <c r="K85" s="318"/>
      <c r="L85" s="318"/>
      <c r="M85" s="318"/>
      <c r="N85" s="318"/>
      <c r="O85" s="318"/>
      <c r="P85" s="152"/>
      <c r="Q85" s="152"/>
      <c r="R85" s="152"/>
      <c r="S85" s="152"/>
      <c r="T85" s="152"/>
      <c r="U85" s="152"/>
      <c r="V85" s="152"/>
      <c r="W85" s="152"/>
      <c r="X85" s="152"/>
    </row>
    <row r="86" spans="1:24" ht="14.25" customHeight="1">
      <c r="A86" s="150"/>
      <c r="B86" s="303" t="s">
        <v>167</v>
      </c>
      <c r="C86" s="302" t="s">
        <v>165</v>
      </c>
      <c r="D86" s="317" t="s">
        <v>166</v>
      </c>
      <c r="E86" s="312">
        <v>3</v>
      </c>
      <c r="F86" s="312">
        <v>12</v>
      </c>
      <c r="G86" s="312">
        <v>60</v>
      </c>
      <c r="H86" s="313"/>
      <c r="I86" s="313"/>
      <c r="J86" s="313"/>
      <c r="K86" s="313"/>
      <c r="L86" s="313"/>
      <c r="M86" s="313"/>
      <c r="N86" s="313"/>
      <c r="O86" s="313"/>
      <c r="P86" s="140"/>
      <c r="Q86" s="140"/>
      <c r="R86" s="140"/>
      <c r="S86" s="140"/>
      <c r="T86" s="140"/>
      <c r="U86" s="140"/>
      <c r="V86" s="140"/>
      <c r="W86" s="140"/>
      <c r="X86" s="140"/>
    </row>
    <row r="87" spans="1:24" ht="14.25" customHeight="1">
      <c r="A87" s="150"/>
      <c r="B87" s="164"/>
      <c r="C87" s="158"/>
      <c r="D87" s="158"/>
      <c r="E87" s="158"/>
      <c r="F87" s="158"/>
      <c r="G87" s="158"/>
      <c r="H87" s="159"/>
      <c r="I87" s="159"/>
      <c r="J87" s="159"/>
      <c r="K87" s="159"/>
      <c r="L87" s="159"/>
      <c r="M87" s="159"/>
      <c r="N87" s="159"/>
      <c r="O87" s="159"/>
      <c r="P87" s="140"/>
      <c r="Q87" s="140"/>
      <c r="R87" s="140"/>
      <c r="S87" s="140"/>
      <c r="T87" s="140"/>
      <c r="U87" s="140"/>
      <c r="V87" s="140"/>
      <c r="W87" s="140"/>
      <c r="X87" s="140"/>
    </row>
    <row r="88" spans="1:24" ht="14.25" customHeight="1">
      <c r="A88" s="140"/>
      <c r="B88" s="148"/>
      <c r="C88" s="140"/>
      <c r="D88" s="145"/>
      <c r="E88" s="140"/>
      <c r="F88" s="140"/>
      <c r="G88" s="140"/>
      <c r="H88" s="140"/>
      <c r="I88" s="140"/>
      <c r="J88" s="140"/>
      <c r="K88" s="140"/>
      <c r="L88" s="140"/>
      <c r="M88" s="140"/>
      <c r="N88" s="140"/>
      <c r="O88" s="140"/>
      <c r="P88" s="140"/>
      <c r="Q88" s="140"/>
      <c r="R88" s="140"/>
      <c r="S88" s="140"/>
      <c r="T88" s="140"/>
      <c r="U88" s="140"/>
      <c r="V88" s="140"/>
      <c r="W88" s="140"/>
      <c r="X88" s="140"/>
    </row>
    <row r="89" spans="1:24" ht="14.25" customHeight="1">
      <c r="A89" s="140"/>
      <c r="B89" s="140"/>
      <c r="C89" s="140"/>
      <c r="D89" s="145"/>
      <c r="E89" s="140"/>
      <c r="F89" s="140"/>
      <c r="G89" s="140"/>
      <c r="H89" s="140"/>
      <c r="I89" s="140"/>
      <c r="J89" s="140"/>
      <c r="K89" s="140"/>
      <c r="L89" s="140"/>
      <c r="M89" s="140"/>
      <c r="N89" s="140"/>
      <c r="O89" s="140"/>
      <c r="P89" s="140"/>
      <c r="Q89" s="140"/>
      <c r="R89" s="140"/>
      <c r="S89" s="140"/>
      <c r="T89" s="140"/>
      <c r="U89" s="140"/>
      <c r="V89" s="140"/>
      <c r="W89" s="140"/>
      <c r="X89" s="140"/>
    </row>
    <row r="90" spans="1:24" ht="14.25" customHeight="1">
      <c r="A90" s="140"/>
      <c r="B90" s="140"/>
      <c r="C90" s="140"/>
      <c r="D90" s="145"/>
      <c r="E90" s="140"/>
      <c r="F90" s="140"/>
      <c r="G90" s="140"/>
      <c r="H90" s="140"/>
      <c r="I90" s="140"/>
      <c r="J90" s="140"/>
      <c r="K90" s="140"/>
      <c r="L90" s="140"/>
      <c r="M90" s="140"/>
      <c r="N90" s="140"/>
      <c r="O90" s="140"/>
      <c r="P90" s="140"/>
      <c r="Q90" s="140"/>
      <c r="R90" s="140"/>
      <c r="S90" s="140"/>
      <c r="T90" s="140"/>
      <c r="U90" s="140"/>
      <c r="V90" s="140"/>
      <c r="W90" s="140"/>
      <c r="X90" s="140"/>
    </row>
    <row r="91" spans="1:24" ht="14.25" customHeight="1">
      <c r="A91" s="140"/>
      <c r="B91" s="140"/>
      <c r="C91" s="140"/>
      <c r="D91" s="145"/>
      <c r="E91" s="140"/>
      <c r="F91" s="140"/>
      <c r="G91" s="140"/>
      <c r="H91" s="140"/>
      <c r="I91" s="140"/>
      <c r="J91" s="140"/>
      <c r="K91" s="140"/>
      <c r="L91" s="140"/>
      <c r="M91" s="140"/>
      <c r="N91" s="140"/>
      <c r="O91" s="140"/>
      <c r="P91" s="140"/>
      <c r="Q91" s="140"/>
      <c r="R91" s="140"/>
      <c r="S91" s="140"/>
      <c r="T91" s="140"/>
      <c r="U91" s="140"/>
      <c r="V91" s="140"/>
      <c r="W91" s="140"/>
      <c r="X91" s="140"/>
    </row>
    <row r="92" spans="1:24" ht="14.25" customHeight="1">
      <c r="A92" s="140"/>
      <c r="B92" s="140"/>
      <c r="C92" s="140"/>
      <c r="D92" s="145"/>
      <c r="E92" s="140"/>
      <c r="F92" s="140"/>
      <c r="G92" s="140"/>
      <c r="H92" s="140"/>
      <c r="I92" s="140"/>
      <c r="J92" s="140"/>
      <c r="K92" s="140"/>
      <c r="L92" s="140"/>
      <c r="M92" s="140"/>
      <c r="N92" s="140"/>
      <c r="O92" s="140"/>
      <c r="P92" s="140"/>
      <c r="Q92" s="140"/>
      <c r="R92" s="140"/>
      <c r="S92" s="140"/>
      <c r="T92" s="140"/>
      <c r="U92" s="140"/>
      <c r="V92" s="140"/>
      <c r="W92" s="140"/>
      <c r="X92" s="140"/>
    </row>
  </sheetData>
  <mergeCells count="22">
    <mergeCell ref="B4:D6"/>
    <mergeCell ref="D12:D13"/>
    <mergeCell ref="D17:D18"/>
    <mergeCell ref="D62:D63"/>
    <mergeCell ref="D64:D65"/>
    <mergeCell ref="B46:C46"/>
    <mergeCell ref="B10:C10"/>
    <mergeCell ref="B12:B13"/>
    <mergeCell ref="C12:C13"/>
    <mergeCell ref="G17:G18"/>
    <mergeCell ref="C17:C18"/>
    <mergeCell ref="M10:N10"/>
    <mergeCell ref="B29:C29"/>
    <mergeCell ref="D83:D84"/>
    <mergeCell ref="D73:D74"/>
    <mergeCell ref="D76:D78"/>
    <mergeCell ref="B69:C69"/>
    <mergeCell ref="E17:E18"/>
    <mergeCell ref="F17:F18"/>
    <mergeCell ref="E12:E13"/>
    <mergeCell ref="F12:F13"/>
    <mergeCell ref="G12:G13"/>
  </mergeCells>
  <hyperlinks>
    <hyperlink ref="C20" r:id="rId1" xr:uid="{00000000-0004-0000-0400-000000000000}"/>
    <hyperlink ref="C25" r:id="rId2" xr:uid="{00000000-0004-0000-0400-000001000000}"/>
    <hyperlink ref="C23" r:id="rId3" xr:uid="{00000000-0004-0000-0400-000002000000}"/>
    <hyperlink ref="C12" r:id="rId4" xr:uid="{00000000-0004-0000-0400-000003000000}"/>
    <hyperlink ref="C15" r:id="rId5" xr:uid="{00000000-0004-0000-0400-000004000000}"/>
    <hyperlink ref="C17" r:id="rId6" xr:uid="{00000000-0004-0000-0400-000005000000}"/>
    <hyperlink ref="C21" r:id="rId7" display="Dumbbell Side Raises" xr:uid="{00000000-0004-0000-0400-000006000000}"/>
    <hyperlink ref="C24" r:id="rId8" xr:uid="{00000000-0004-0000-0400-000007000000}"/>
    <hyperlink ref="C31" r:id="rId9" xr:uid="{00000000-0004-0000-0400-000008000000}"/>
    <hyperlink ref="C33" r:id="rId10" xr:uid="{00000000-0004-0000-0400-000009000000}"/>
    <hyperlink ref="C36" r:id="rId11" xr:uid="{00000000-0004-0000-0400-00000A000000}"/>
    <hyperlink ref="C38" r:id="rId12" xr:uid="{00000000-0004-0000-0400-00000B000000}"/>
    <hyperlink ref="C39" r:id="rId13" xr:uid="{00000000-0004-0000-0400-00000C000000}"/>
    <hyperlink ref="C41" r:id="rId14" xr:uid="{00000000-0004-0000-0400-00000D000000}"/>
    <hyperlink ref="C48" r:id="rId15" xr:uid="{00000000-0004-0000-0400-00000E000000}"/>
    <hyperlink ref="C50" r:id="rId16" xr:uid="{00000000-0004-0000-0400-00000F000000}"/>
    <hyperlink ref="C52" r:id="rId17" xr:uid="{00000000-0004-0000-0400-000010000000}"/>
    <hyperlink ref="C62" r:id="rId18" xr:uid="{00000000-0004-0000-0400-000011000000}"/>
    <hyperlink ref="C73" r:id="rId19" xr:uid="{00000000-0004-0000-0400-000012000000}"/>
    <hyperlink ref="C35" r:id="rId20" xr:uid="{00000000-0004-0000-0400-000013000000}"/>
    <hyperlink ref="C64" r:id="rId21" xr:uid="{00000000-0004-0000-0400-000014000000}"/>
    <hyperlink ref="C71" r:id="rId22" xr:uid="{00000000-0004-0000-0400-000015000000}"/>
    <hyperlink ref="C81" r:id="rId23" xr:uid="{00000000-0004-0000-0400-000016000000}"/>
    <hyperlink ref="C42" r:id="rId24" xr:uid="{00000000-0004-0000-0400-000017000000}"/>
    <hyperlink ref="C86" r:id="rId25" xr:uid="{00000000-0004-0000-0400-000018000000}"/>
    <hyperlink ref="C80" r:id="rId26" xr:uid="{00000000-0004-0000-0400-000019000000}"/>
    <hyperlink ref="C58" r:id="rId27" xr:uid="{00000000-0004-0000-0400-00001A000000}"/>
    <hyperlink ref="C59" r:id="rId28" xr:uid="{00000000-0004-0000-0400-00001B000000}"/>
    <hyperlink ref="C60" r:id="rId29" xr:uid="{00000000-0004-0000-0400-00001C000000}"/>
    <hyperlink ref="C83" r:id="rId30" xr:uid="{00000000-0004-0000-0400-00001D000000}"/>
    <hyperlink ref="C55" r:id="rId31" xr:uid="{00000000-0004-0000-0400-00001E000000}"/>
    <hyperlink ref="C56" r:id="rId32" xr:uid="{00000000-0004-0000-0400-00001F000000}"/>
    <hyperlink ref="C57" r:id="rId33" xr:uid="{00000000-0004-0000-0400-000020000000}"/>
    <hyperlink ref="C76" r:id="rId34" xr:uid="{00000000-0004-0000-0400-000021000000}"/>
  </hyperlinks>
  <printOptions horizontalCentered="1" verticalCentered="1"/>
  <pageMargins left="0.23622047244094491" right="0.23622047244094491" top="0.74803149606299213" bottom="0.74803149606299213" header="0.31496062992125984" footer="0.31496062992125984"/>
  <pageSetup paperSize="9" scale="56" orientation="landscape" r:id="rId35"/>
  <rowBreaks count="1" manualBreakCount="1">
    <brk id="44" max="16383" man="1"/>
  </rowBreaks>
  <drawing r:id="rId3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77"/>
  <sheetViews>
    <sheetView workbookViewId="0">
      <selection activeCell="B16" sqref="B16"/>
    </sheetView>
  </sheetViews>
  <sheetFormatPr defaultColWidth="12.625" defaultRowHeight="15" customHeight="1"/>
  <cols>
    <col min="1" max="1" width="14.125" style="70" customWidth="1"/>
    <col min="2" max="2" width="15.5" style="70" customWidth="1"/>
    <col min="3" max="3" width="43.375" style="70" customWidth="1"/>
    <col min="4" max="4" width="14.125" style="70" customWidth="1"/>
    <col min="5" max="5" width="5.625" style="70" customWidth="1"/>
    <col min="6" max="6" width="11" style="70" customWidth="1"/>
    <col min="7" max="7" width="11.875" style="70" customWidth="1"/>
    <col min="8" max="8" width="9.375" style="70" customWidth="1"/>
    <col min="9" max="11" width="15.375" style="70" customWidth="1"/>
    <col min="12" max="13" width="9.875" style="70" customWidth="1"/>
    <col min="14" max="14" width="12.875" style="78" customWidth="1"/>
    <col min="15" max="16" width="7.625" style="78" customWidth="1"/>
    <col min="17" max="17" width="6.125" style="78" customWidth="1"/>
    <col min="18" max="18" width="9.375" style="78" customWidth="1"/>
    <col min="19" max="22" width="7.625" style="78" customWidth="1"/>
    <col min="23" max="26" width="14.375" style="78" customWidth="1"/>
    <col min="27" max="16384" width="12.625" style="70"/>
  </cols>
  <sheetData>
    <row r="1" spans="2:26" ht="14.25" customHeight="1">
      <c r="B1" s="140"/>
      <c r="C1" s="140"/>
      <c r="D1" s="140"/>
      <c r="E1" s="140"/>
      <c r="F1" s="140"/>
      <c r="G1" s="140"/>
      <c r="H1" s="140"/>
      <c r="I1" s="140"/>
      <c r="J1" s="140"/>
      <c r="K1" s="140"/>
      <c r="L1" s="140"/>
      <c r="M1" s="150"/>
      <c r="N1" s="152"/>
      <c r="O1" s="152"/>
      <c r="P1" s="152"/>
      <c r="Q1" s="152"/>
      <c r="R1" s="152"/>
      <c r="S1" s="152"/>
      <c r="T1" s="152"/>
      <c r="U1" s="152"/>
      <c r="V1" s="152"/>
      <c r="W1" s="152"/>
      <c r="X1" s="152"/>
      <c r="Y1" s="152"/>
      <c r="Z1" s="152"/>
    </row>
    <row r="2" spans="2:26" ht="14.25" customHeight="1">
      <c r="B2" s="140"/>
      <c r="C2" s="453" t="s">
        <v>63</v>
      </c>
      <c r="D2" s="140"/>
      <c r="E2" s="140"/>
      <c r="F2" s="140"/>
      <c r="G2" s="140"/>
      <c r="H2" s="140"/>
      <c r="I2" s="140"/>
      <c r="J2" s="140"/>
      <c r="K2" s="140"/>
      <c r="L2" s="140"/>
      <c r="M2" s="150"/>
      <c r="N2" s="152"/>
      <c r="O2" s="152"/>
      <c r="P2" s="152"/>
      <c r="Q2" s="152"/>
      <c r="R2" s="152"/>
      <c r="S2" s="152"/>
      <c r="T2" s="152"/>
      <c r="U2" s="152"/>
      <c r="V2" s="152"/>
      <c r="W2" s="152"/>
      <c r="X2" s="152"/>
      <c r="Y2" s="152"/>
      <c r="Z2" s="152"/>
    </row>
    <row r="3" spans="2:26" ht="26.25" customHeight="1">
      <c r="B3" s="140"/>
      <c r="C3" s="415"/>
      <c r="D3" s="140"/>
      <c r="E3" s="140"/>
      <c r="F3" s="141"/>
      <c r="G3" s="141"/>
      <c r="H3" s="140"/>
      <c r="I3" s="140"/>
      <c r="J3" s="140"/>
      <c r="K3" s="140"/>
      <c r="L3" s="140"/>
      <c r="M3" s="150"/>
      <c r="N3" s="152"/>
      <c r="O3" s="152"/>
      <c r="P3" s="152"/>
      <c r="Q3" s="152"/>
      <c r="R3" s="152"/>
      <c r="S3" s="152"/>
      <c r="T3" s="152"/>
      <c r="U3" s="152"/>
      <c r="V3" s="152"/>
      <c r="W3" s="152"/>
      <c r="X3" s="152"/>
      <c r="Y3" s="152"/>
      <c r="Z3" s="152"/>
    </row>
    <row r="4" spans="2:26" ht="14.25" customHeight="1" thickBot="1">
      <c r="B4" s="140"/>
      <c r="C4" s="140"/>
      <c r="D4" s="140"/>
      <c r="E4" s="140"/>
      <c r="F4" s="145"/>
      <c r="G4" s="145"/>
      <c r="H4" s="145"/>
      <c r="I4" s="145"/>
      <c r="J4" s="145"/>
      <c r="K4" s="145"/>
      <c r="L4" s="140"/>
      <c r="M4" s="150"/>
      <c r="N4" s="152"/>
      <c r="O4" s="152"/>
      <c r="P4" s="152"/>
      <c r="Q4" s="152"/>
      <c r="R4" s="152"/>
      <c r="S4" s="152"/>
      <c r="T4" s="152"/>
      <c r="U4" s="152"/>
      <c r="V4" s="152"/>
      <c r="W4" s="152"/>
      <c r="X4" s="152"/>
      <c r="Y4" s="152"/>
      <c r="Z4" s="152"/>
    </row>
    <row r="5" spans="2:26" ht="14.25" customHeight="1" thickBot="1">
      <c r="B5" s="140"/>
      <c r="C5" s="294" t="s">
        <v>172</v>
      </c>
      <c r="D5" s="140"/>
      <c r="E5" s="140"/>
      <c r="F5" s="140"/>
      <c r="G5" s="140"/>
      <c r="H5" s="140"/>
      <c r="I5" s="140"/>
      <c r="J5" s="140"/>
      <c r="K5" s="140"/>
      <c r="L5" s="140"/>
      <c r="M5" s="150"/>
      <c r="N5" s="454"/>
      <c r="O5" s="415"/>
      <c r="P5" s="152"/>
      <c r="Q5" s="455"/>
      <c r="R5" s="415"/>
      <c r="S5" s="152"/>
      <c r="T5" s="152"/>
      <c r="U5" s="152"/>
      <c r="V5" s="152"/>
      <c r="W5" s="152"/>
      <c r="X5" s="152"/>
      <c r="Y5" s="152"/>
      <c r="Z5" s="152"/>
    </row>
    <row r="6" spans="2:26" ht="14.25" customHeight="1" thickBot="1">
      <c r="B6" s="140"/>
      <c r="C6" s="295" t="s">
        <v>148</v>
      </c>
      <c r="D6" s="145"/>
      <c r="E6" s="145"/>
      <c r="F6" s="145"/>
      <c r="G6" s="145"/>
      <c r="H6" s="270"/>
      <c r="I6" s="271"/>
      <c r="J6" s="272"/>
      <c r="K6" s="272"/>
      <c r="L6" s="272"/>
      <c r="M6" s="273"/>
      <c r="N6" s="152"/>
      <c r="O6" s="152"/>
      <c r="P6" s="274"/>
      <c r="Q6" s="156"/>
      <c r="R6" s="152"/>
      <c r="S6" s="152"/>
      <c r="T6" s="152"/>
      <c r="U6" s="152"/>
      <c r="V6" s="152"/>
      <c r="W6" s="152"/>
      <c r="X6" s="152"/>
      <c r="Y6" s="152"/>
      <c r="Z6" s="152"/>
    </row>
    <row r="7" spans="2:26" ht="14.25" customHeight="1" thickBot="1">
      <c r="B7" s="140"/>
      <c r="C7" s="295" t="s">
        <v>81</v>
      </c>
      <c r="D7" s="145"/>
      <c r="E7" s="145"/>
      <c r="F7" s="145"/>
      <c r="G7" s="145"/>
      <c r="H7" s="270"/>
      <c r="I7" s="271"/>
      <c r="J7" s="272"/>
      <c r="K7" s="272"/>
      <c r="L7" s="272"/>
      <c r="M7" s="273"/>
      <c r="N7" s="152"/>
      <c r="O7" s="152"/>
      <c r="P7" s="274"/>
      <c r="Q7" s="156"/>
      <c r="R7" s="152"/>
      <c r="S7" s="152"/>
      <c r="T7" s="152"/>
      <c r="U7" s="152"/>
      <c r="V7" s="152"/>
      <c r="W7" s="152"/>
      <c r="X7" s="152"/>
      <c r="Y7" s="152"/>
      <c r="Z7" s="152"/>
    </row>
    <row r="8" spans="2:26" ht="14.25" customHeight="1" thickBot="1">
      <c r="B8" s="140"/>
      <c r="C8" s="295" t="s">
        <v>59</v>
      </c>
      <c r="D8" s="145"/>
      <c r="E8" s="145"/>
      <c r="F8" s="145"/>
      <c r="G8" s="145"/>
      <c r="H8" s="270"/>
      <c r="I8" s="271"/>
      <c r="J8" s="272"/>
      <c r="K8" s="272"/>
      <c r="L8" s="272"/>
      <c r="M8" s="273"/>
      <c r="N8" s="152"/>
      <c r="O8" s="152"/>
      <c r="P8" s="274"/>
      <c r="Q8" s="156"/>
      <c r="R8" s="152"/>
      <c r="S8" s="152"/>
      <c r="T8" s="152"/>
      <c r="U8" s="152"/>
      <c r="V8" s="152"/>
      <c r="W8" s="152"/>
      <c r="X8" s="152"/>
      <c r="Y8" s="152"/>
      <c r="Z8" s="152"/>
    </row>
    <row r="9" spans="2:26" ht="14.25" customHeight="1" thickBot="1">
      <c r="B9" s="140"/>
      <c r="C9" s="295" t="s">
        <v>70</v>
      </c>
      <c r="D9" s="145"/>
      <c r="E9" s="145"/>
      <c r="F9" s="145"/>
      <c r="G9" s="145"/>
      <c r="H9" s="270"/>
      <c r="I9" s="271"/>
      <c r="J9" s="272"/>
      <c r="K9" s="272"/>
      <c r="L9" s="272"/>
      <c r="M9" s="273"/>
      <c r="N9" s="152"/>
      <c r="O9" s="152"/>
      <c r="P9" s="274"/>
      <c r="Q9" s="156"/>
      <c r="R9" s="152"/>
      <c r="S9" s="152"/>
      <c r="T9" s="152"/>
      <c r="U9" s="152"/>
      <c r="V9" s="152"/>
      <c r="W9" s="152"/>
      <c r="X9" s="152"/>
      <c r="Y9" s="152"/>
      <c r="Z9" s="152"/>
    </row>
    <row r="10" spans="2:26" ht="14.25" customHeight="1" thickBot="1">
      <c r="B10" s="140"/>
      <c r="C10" s="295" t="s">
        <v>72</v>
      </c>
      <c r="D10" s="145"/>
      <c r="E10" s="145"/>
      <c r="F10" s="145"/>
      <c r="G10" s="145"/>
      <c r="H10" s="270"/>
      <c r="I10" s="271"/>
      <c r="J10" s="272"/>
      <c r="K10" s="272"/>
      <c r="L10" s="272"/>
      <c r="M10" s="273"/>
      <c r="N10" s="152"/>
      <c r="O10" s="152"/>
      <c r="P10" s="274"/>
      <c r="Q10" s="156"/>
      <c r="R10" s="152"/>
      <c r="S10" s="152"/>
      <c r="T10" s="152"/>
      <c r="U10" s="152"/>
      <c r="V10" s="152"/>
      <c r="W10" s="152"/>
      <c r="X10" s="152"/>
      <c r="Y10" s="152"/>
      <c r="Z10" s="152"/>
    </row>
    <row r="11" spans="2:26" ht="14.25" customHeight="1" thickBot="1">
      <c r="B11" s="140"/>
      <c r="C11" s="295" t="s">
        <v>133</v>
      </c>
      <c r="D11" s="145"/>
      <c r="E11" s="145"/>
      <c r="F11" s="145"/>
      <c r="G11" s="145"/>
      <c r="H11" s="270"/>
      <c r="I11" s="271"/>
      <c r="J11" s="272"/>
      <c r="K11" s="272"/>
      <c r="L11" s="272"/>
      <c r="M11" s="273"/>
      <c r="N11" s="152"/>
      <c r="O11" s="152"/>
      <c r="P11" s="274"/>
      <c r="Q11" s="156"/>
      <c r="R11" s="152"/>
      <c r="S11" s="152"/>
      <c r="T11" s="152"/>
      <c r="U11" s="152"/>
      <c r="V11" s="152"/>
      <c r="W11" s="152"/>
      <c r="X11" s="152"/>
      <c r="Y11" s="152"/>
      <c r="Z11" s="152"/>
    </row>
    <row r="12" spans="2:26" ht="14.25" customHeight="1" thickBot="1">
      <c r="B12" s="140"/>
      <c r="C12" s="295" t="s">
        <v>155</v>
      </c>
      <c r="D12" s="145"/>
      <c r="E12" s="145"/>
      <c r="F12" s="275"/>
      <c r="G12" s="276"/>
      <c r="H12" s="145"/>
      <c r="I12" s="140"/>
      <c r="J12" s="140"/>
      <c r="K12" s="146"/>
      <c r="L12" s="140"/>
      <c r="M12" s="150"/>
      <c r="N12" s="277"/>
      <c r="O12" s="152"/>
      <c r="P12" s="152"/>
      <c r="Q12" s="152"/>
      <c r="R12" s="152"/>
      <c r="S12" s="152"/>
      <c r="T12" s="152"/>
      <c r="U12" s="152"/>
      <c r="V12" s="152"/>
      <c r="W12" s="152"/>
      <c r="X12" s="152"/>
      <c r="Y12" s="152"/>
      <c r="Z12" s="152"/>
    </row>
    <row r="13" spans="2:26" ht="14.25" customHeight="1" thickBot="1">
      <c r="B13" s="140"/>
      <c r="C13" s="295" t="s">
        <v>175</v>
      </c>
      <c r="D13" s="145"/>
      <c r="E13" s="145"/>
      <c r="F13" s="270"/>
      <c r="G13" s="271"/>
      <c r="H13" s="140"/>
      <c r="I13" s="140"/>
      <c r="J13" s="140"/>
      <c r="K13" s="278"/>
      <c r="L13" s="140"/>
      <c r="M13" s="150"/>
      <c r="N13" s="279"/>
      <c r="O13" s="155"/>
      <c r="P13" s="152"/>
      <c r="Q13" s="152"/>
      <c r="R13" s="152"/>
      <c r="S13" s="152"/>
      <c r="T13" s="152"/>
      <c r="U13" s="152"/>
      <c r="V13" s="152"/>
      <c r="W13" s="152"/>
      <c r="X13" s="152"/>
      <c r="Y13" s="152"/>
      <c r="Z13" s="152"/>
    </row>
    <row r="14" spans="2:26" ht="14.25" customHeight="1" thickBot="1">
      <c r="B14" s="140"/>
      <c r="C14" s="295" t="s">
        <v>137</v>
      </c>
      <c r="D14" s="145"/>
      <c r="E14" s="145"/>
      <c r="F14" s="270"/>
      <c r="G14" s="271"/>
      <c r="H14" s="140"/>
      <c r="I14" s="140"/>
      <c r="J14" s="140"/>
      <c r="K14" s="146"/>
      <c r="L14" s="140"/>
      <c r="M14" s="150"/>
      <c r="N14" s="274"/>
      <c r="O14" s="156"/>
      <c r="P14" s="152"/>
      <c r="Q14" s="152"/>
      <c r="R14" s="152"/>
      <c r="S14" s="152"/>
      <c r="T14" s="152"/>
      <c r="U14" s="152"/>
      <c r="V14" s="152"/>
      <c r="W14" s="152"/>
      <c r="X14" s="152"/>
      <c r="Y14" s="152"/>
      <c r="Z14" s="152"/>
    </row>
    <row r="15" spans="2:26" ht="14.25" customHeight="1" thickBot="1">
      <c r="B15" s="140"/>
      <c r="C15" s="295" t="s">
        <v>173</v>
      </c>
      <c r="D15" s="145"/>
      <c r="E15" s="145"/>
      <c r="F15" s="280"/>
      <c r="G15" s="281"/>
      <c r="H15" s="140"/>
      <c r="I15" s="140"/>
      <c r="J15" s="140"/>
      <c r="K15" s="146"/>
      <c r="L15" s="140"/>
      <c r="M15" s="150"/>
      <c r="N15" s="274"/>
      <c r="O15" s="155"/>
      <c r="P15" s="152"/>
      <c r="Q15" s="152"/>
      <c r="R15" s="152"/>
      <c r="S15" s="152"/>
      <c r="T15" s="152"/>
      <c r="U15" s="152"/>
      <c r="V15" s="152"/>
      <c r="W15" s="152"/>
      <c r="X15" s="152"/>
      <c r="Y15" s="152"/>
      <c r="Z15" s="152"/>
    </row>
    <row r="16" spans="2:26" ht="14.25" customHeight="1" thickBot="1">
      <c r="B16" s="140"/>
      <c r="C16" s="295" t="s">
        <v>99</v>
      </c>
      <c r="D16" s="145"/>
      <c r="E16" s="145"/>
      <c r="F16" s="282"/>
      <c r="G16" s="283"/>
      <c r="H16" s="140"/>
      <c r="I16" s="140"/>
      <c r="J16" s="140"/>
      <c r="K16" s="146"/>
      <c r="L16" s="140"/>
      <c r="M16" s="150"/>
      <c r="N16" s="277"/>
      <c r="O16" s="152"/>
      <c r="P16" s="152"/>
      <c r="Q16" s="152"/>
      <c r="R16" s="152"/>
      <c r="S16" s="152"/>
      <c r="T16" s="152"/>
      <c r="U16" s="152"/>
      <c r="V16" s="152"/>
      <c r="W16" s="152"/>
      <c r="X16" s="152"/>
      <c r="Y16" s="152"/>
      <c r="Z16" s="152"/>
    </row>
    <row r="17" spans="2:26" ht="14.25" customHeight="1" thickBot="1">
      <c r="B17" s="140"/>
      <c r="C17" s="295" t="s">
        <v>93</v>
      </c>
      <c r="D17" s="145"/>
      <c r="E17" s="145"/>
      <c r="F17" s="145"/>
      <c r="G17" s="145"/>
      <c r="H17" s="145"/>
      <c r="I17" s="282"/>
      <c r="J17" s="140"/>
      <c r="K17" s="140"/>
      <c r="L17" s="140"/>
      <c r="M17" s="150"/>
      <c r="N17" s="152"/>
      <c r="O17" s="152"/>
      <c r="P17" s="152"/>
      <c r="Q17" s="152"/>
      <c r="R17" s="152"/>
      <c r="S17" s="152"/>
      <c r="T17" s="152"/>
      <c r="U17" s="152"/>
      <c r="V17" s="152"/>
      <c r="W17" s="152"/>
      <c r="X17" s="152"/>
      <c r="Y17" s="152"/>
      <c r="Z17" s="152"/>
    </row>
    <row r="18" spans="2:26" ht="14.25" customHeight="1" thickBot="1">
      <c r="B18" s="140"/>
      <c r="C18" s="295" t="s">
        <v>176</v>
      </c>
      <c r="D18" s="145"/>
      <c r="E18" s="145"/>
      <c r="F18" s="145"/>
      <c r="G18" s="145"/>
      <c r="H18" s="145"/>
      <c r="I18" s="282"/>
      <c r="J18" s="140"/>
      <c r="K18" s="140"/>
      <c r="L18" s="140"/>
      <c r="M18" s="150"/>
      <c r="N18" s="152"/>
      <c r="O18" s="152"/>
      <c r="P18" s="152"/>
      <c r="Q18" s="152"/>
      <c r="R18" s="152"/>
      <c r="S18" s="152"/>
      <c r="T18" s="152"/>
      <c r="U18" s="152"/>
      <c r="V18" s="152"/>
      <c r="W18" s="152"/>
      <c r="X18" s="152"/>
      <c r="Y18" s="152"/>
      <c r="Z18" s="152"/>
    </row>
    <row r="19" spans="2:26" ht="14.25" customHeight="1" thickBot="1">
      <c r="B19" s="140"/>
      <c r="C19" s="295" t="s">
        <v>162</v>
      </c>
      <c r="D19" s="145"/>
      <c r="E19" s="145"/>
      <c r="F19" s="282"/>
      <c r="G19" s="283"/>
      <c r="H19" s="140"/>
      <c r="I19" s="140"/>
      <c r="J19" s="140"/>
      <c r="K19" s="278"/>
      <c r="L19" s="140"/>
      <c r="M19" s="150"/>
      <c r="N19" s="279"/>
      <c r="O19" s="155"/>
      <c r="P19" s="152"/>
      <c r="Q19" s="152"/>
      <c r="R19" s="152"/>
      <c r="S19" s="152"/>
      <c r="T19" s="152"/>
      <c r="U19" s="152"/>
      <c r="V19" s="152"/>
      <c r="W19" s="152"/>
      <c r="X19" s="152"/>
      <c r="Y19" s="152"/>
      <c r="Z19" s="152"/>
    </row>
    <row r="20" spans="2:26" ht="14.25" customHeight="1" thickBot="1">
      <c r="B20" s="140"/>
      <c r="C20" s="295" t="s">
        <v>104</v>
      </c>
      <c r="D20" s="145"/>
      <c r="E20" s="145"/>
      <c r="F20" s="282"/>
      <c r="G20" s="283"/>
      <c r="H20" s="140"/>
      <c r="I20" s="140"/>
      <c r="J20" s="140"/>
      <c r="K20" s="278"/>
      <c r="L20" s="140"/>
      <c r="M20" s="150"/>
      <c r="N20" s="279"/>
      <c r="O20" s="155"/>
      <c r="P20" s="152"/>
      <c r="Q20" s="152"/>
      <c r="R20" s="152"/>
      <c r="S20" s="152"/>
      <c r="T20" s="152"/>
      <c r="U20" s="152"/>
      <c r="V20" s="152"/>
      <c r="W20" s="152"/>
      <c r="X20" s="152"/>
      <c r="Y20" s="152"/>
      <c r="Z20" s="152"/>
    </row>
    <row r="21" spans="2:26" ht="14.25" customHeight="1" thickBot="1">
      <c r="B21" s="140"/>
      <c r="C21" s="295" t="s">
        <v>85</v>
      </c>
      <c r="D21" s="284"/>
      <c r="E21" s="284"/>
      <c r="F21" s="284"/>
      <c r="G21" s="284"/>
      <c r="H21" s="284"/>
      <c r="I21" s="285"/>
      <c r="J21" s="285"/>
      <c r="K21" s="285"/>
      <c r="L21" s="285"/>
      <c r="M21" s="286"/>
      <c r="N21" s="287"/>
      <c r="O21" s="288"/>
      <c r="P21" s="152"/>
      <c r="Q21" s="152"/>
      <c r="R21" s="152"/>
      <c r="S21" s="152"/>
      <c r="T21" s="152"/>
      <c r="U21" s="152"/>
      <c r="V21" s="152"/>
      <c r="W21" s="152"/>
      <c r="X21" s="152"/>
      <c r="Y21" s="152"/>
      <c r="Z21" s="152"/>
    </row>
    <row r="22" spans="2:26" ht="14.25" customHeight="1" thickBot="1">
      <c r="B22" s="140"/>
      <c r="C22" s="295" t="s">
        <v>112</v>
      </c>
      <c r="D22" s="140"/>
      <c r="E22" s="140"/>
      <c r="F22" s="140"/>
      <c r="G22" s="140"/>
      <c r="H22" s="140"/>
      <c r="I22" s="140"/>
      <c r="J22" s="140"/>
      <c r="K22" s="140"/>
      <c r="L22" s="140"/>
      <c r="M22" s="150"/>
      <c r="N22" s="152"/>
      <c r="O22" s="152"/>
      <c r="P22" s="152"/>
      <c r="Q22" s="152"/>
      <c r="R22" s="152"/>
      <c r="S22" s="152"/>
      <c r="T22" s="152"/>
      <c r="U22" s="152"/>
      <c r="V22" s="152"/>
      <c r="W22" s="152"/>
      <c r="X22" s="152"/>
      <c r="Y22" s="152"/>
      <c r="Z22" s="152"/>
    </row>
    <row r="23" spans="2:26" ht="14.25" customHeight="1" thickBot="1">
      <c r="B23" s="140"/>
      <c r="C23" s="295" t="s">
        <v>92</v>
      </c>
      <c r="D23" s="145"/>
      <c r="E23" s="145"/>
      <c r="F23" s="282"/>
      <c r="G23" s="283"/>
      <c r="H23" s="140"/>
      <c r="I23" s="140"/>
      <c r="J23" s="140"/>
      <c r="K23" s="146"/>
      <c r="L23" s="140"/>
      <c r="M23" s="150"/>
      <c r="N23" s="274"/>
      <c r="O23" s="156"/>
      <c r="P23" s="152"/>
      <c r="Q23" s="152"/>
      <c r="R23" s="152"/>
      <c r="S23" s="152"/>
      <c r="T23" s="152"/>
      <c r="U23" s="152"/>
      <c r="V23" s="152"/>
      <c r="W23" s="152"/>
      <c r="X23" s="152"/>
      <c r="Y23" s="152"/>
      <c r="Z23" s="152"/>
    </row>
    <row r="24" spans="2:26" ht="14.25" customHeight="1" thickBot="1">
      <c r="B24" s="140"/>
      <c r="C24" s="295" t="s">
        <v>61</v>
      </c>
      <c r="D24" s="140"/>
      <c r="E24" s="140"/>
      <c r="F24" s="145"/>
      <c r="G24" s="145"/>
      <c r="H24" s="145"/>
      <c r="I24" s="145"/>
      <c r="J24" s="145"/>
      <c r="K24" s="145"/>
      <c r="L24" s="140"/>
      <c r="M24" s="150"/>
      <c r="N24" s="152"/>
      <c r="O24" s="152"/>
      <c r="P24" s="152"/>
      <c r="Q24" s="152"/>
      <c r="R24" s="152"/>
      <c r="S24" s="152"/>
      <c r="T24" s="152"/>
      <c r="U24" s="152"/>
      <c r="V24" s="152"/>
      <c r="W24" s="152"/>
      <c r="X24" s="152"/>
      <c r="Y24" s="152"/>
      <c r="Z24" s="152"/>
    </row>
    <row r="25" spans="2:26" ht="14.25" customHeight="1" thickBot="1">
      <c r="B25" s="140"/>
      <c r="C25" s="295" t="s">
        <v>174</v>
      </c>
      <c r="D25" s="145"/>
      <c r="E25" s="145"/>
      <c r="F25" s="282"/>
      <c r="G25" s="283"/>
      <c r="H25" s="140"/>
      <c r="I25" s="140"/>
      <c r="J25" s="140"/>
      <c r="K25" s="278"/>
      <c r="L25" s="140"/>
      <c r="M25" s="150"/>
      <c r="N25" s="279"/>
      <c r="O25" s="155"/>
      <c r="P25" s="152"/>
      <c r="Q25" s="152"/>
      <c r="R25" s="152"/>
      <c r="S25" s="152"/>
      <c r="T25" s="152"/>
      <c r="U25" s="152"/>
      <c r="V25" s="152"/>
      <c r="W25" s="152"/>
      <c r="X25" s="152"/>
      <c r="Y25" s="152"/>
      <c r="Z25" s="152"/>
    </row>
    <row r="26" spans="2:26" ht="14.25" customHeight="1" thickBot="1">
      <c r="B26" s="140"/>
      <c r="C26" s="295" t="s">
        <v>117</v>
      </c>
      <c r="D26" s="145"/>
      <c r="E26" s="145"/>
      <c r="F26" s="145"/>
      <c r="G26" s="145"/>
      <c r="H26" s="145"/>
      <c r="I26" s="270"/>
      <c r="J26" s="272"/>
      <c r="K26" s="140"/>
      <c r="L26" s="140"/>
      <c r="M26" s="150"/>
      <c r="N26" s="152"/>
      <c r="O26" s="152"/>
      <c r="P26" s="152"/>
      <c r="Q26" s="152"/>
      <c r="R26" s="152"/>
      <c r="S26" s="152"/>
      <c r="T26" s="152"/>
      <c r="U26" s="152"/>
      <c r="V26" s="152"/>
      <c r="W26" s="152"/>
      <c r="X26" s="152"/>
      <c r="Y26" s="152"/>
      <c r="Z26" s="152"/>
    </row>
    <row r="27" spans="2:26" ht="14.25" customHeight="1" thickBot="1">
      <c r="B27" s="140"/>
      <c r="C27" s="295" t="s">
        <v>160</v>
      </c>
      <c r="D27" s="145"/>
      <c r="E27" s="145"/>
      <c r="F27" s="145"/>
      <c r="G27" s="145"/>
      <c r="H27" s="145"/>
      <c r="I27" s="270"/>
      <c r="J27" s="272"/>
      <c r="K27" s="140"/>
      <c r="L27" s="140"/>
      <c r="M27" s="150"/>
      <c r="N27" s="152"/>
      <c r="O27" s="152"/>
      <c r="P27" s="152"/>
      <c r="Q27" s="152"/>
      <c r="R27" s="152"/>
      <c r="S27" s="152"/>
      <c r="T27" s="152"/>
      <c r="U27" s="152"/>
      <c r="V27" s="152"/>
      <c r="W27" s="152"/>
      <c r="X27" s="152"/>
      <c r="Y27" s="152"/>
      <c r="Z27" s="152"/>
    </row>
    <row r="28" spans="2:26" ht="14.25" customHeight="1" thickBot="1">
      <c r="B28" s="140"/>
      <c r="C28" s="295" t="s">
        <v>57</v>
      </c>
      <c r="D28" s="145"/>
      <c r="E28" s="145"/>
      <c r="F28" s="145"/>
      <c r="G28" s="145"/>
      <c r="H28" s="145"/>
      <c r="I28" s="282"/>
      <c r="J28" s="140"/>
      <c r="K28" s="140"/>
      <c r="L28" s="140"/>
      <c r="M28" s="150"/>
      <c r="N28" s="152"/>
      <c r="O28" s="152"/>
      <c r="P28" s="152"/>
      <c r="Q28" s="152"/>
      <c r="R28" s="152"/>
      <c r="S28" s="152"/>
      <c r="T28" s="152"/>
      <c r="U28" s="152"/>
      <c r="V28" s="152"/>
      <c r="W28" s="152"/>
      <c r="X28" s="152"/>
      <c r="Y28" s="152"/>
      <c r="Z28" s="152"/>
    </row>
    <row r="29" spans="2:26" ht="14.25" customHeight="1" thickBot="1">
      <c r="B29" s="140"/>
      <c r="C29" s="295" t="s">
        <v>129</v>
      </c>
      <c r="D29" s="145"/>
      <c r="E29" s="145"/>
      <c r="F29" s="145"/>
      <c r="G29" s="145"/>
      <c r="H29" s="145"/>
      <c r="I29" s="282"/>
      <c r="J29" s="140"/>
      <c r="K29" s="140"/>
      <c r="L29" s="140"/>
      <c r="M29" s="150"/>
      <c r="N29" s="152"/>
      <c r="O29" s="152"/>
      <c r="P29" s="152"/>
      <c r="Q29" s="152"/>
      <c r="R29" s="152"/>
      <c r="S29" s="152"/>
      <c r="T29" s="152"/>
      <c r="U29" s="152"/>
      <c r="V29" s="152"/>
      <c r="W29" s="152"/>
      <c r="X29" s="152"/>
      <c r="Y29" s="152"/>
      <c r="Z29" s="152"/>
    </row>
    <row r="30" spans="2:26" ht="14.25" customHeight="1" thickBot="1">
      <c r="B30" s="140"/>
      <c r="C30" s="295" t="s">
        <v>64</v>
      </c>
      <c r="D30" s="145"/>
      <c r="E30" s="140"/>
      <c r="F30" s="140"/>
      <c r="G30" s="140"/>
      <c r="H30" s="140"/>
      <c r="I30" s="280"/>
      <c r="J30" s="272"/>
      <c r="K30" s="140"/>
      <c r="L30" s="140"/>
      <c r="M30" s="150"/>
      <c r="N30" s="152"/>
      <c r="O30" s="152"/>
      <c r="P30" s="152"/>
      <c r="Q30" s="152"/>
      <c r="R30" s="152"/>
      <c r="S30" s="152"/>
      <c r="T30" s="152"/>
      <c r="U30" s="152"/>
      <c r="V30" s="152"/>
      <c r="W30" s="152"/>
      <c r="X30" s="152"/>
      <c r="Y30" s="152"/>
      <c r="Z30" s="152"/>
    </row>
    <row r="31" spans="2:26" ht="14.25" customHeight="1" thickBot="1">
      <c r="B31" s="140"/>
      <c r="C31" s="295" t="s">
        <v>88</v>
      </c>
      <c r="D31" s="145"/>
      <c r="E31" s="145"/>
      <c r="F31" s="282"/>
      <c r="G31" s="283"/>
      <c r="H31" s="140"/>
      <c r="I31" s="140"/>
      <c r="J31" s="140"/>
      <c r="K31" s="146"/>
      <c r="L31" s="140"/>
      <c r="M31" s="150"/>
      <c r="N31" s="274"/>
      <c r="O31" s="155"/>
      <c r="P31" s="152"/>
      <c r="Q31" s="152"/>
      <c r="R31" s="152"/>
      <c r="S31" s="152"/>
      <c r="T31" s="152"/>
      <c r="U31" s="152"/>
      <c r="V31" s="152"/>
      <c r="W31" s="152"/>
      <c r="X31" s="152"/>
      <c r="Y31" s="152"/>
      <c r="Z31" s="152"/>
    </row>
    <row r="32" spans="2:26" ht="14.25" customHeight="1" thickBot="1">
      <c r="B32" s="140"/>
      <c r="C32" s="295" t="s">
        <v>110</v>
      </c>
      <c r="D32" s="140"/>
      <c r="E32" s="140"/>
      <c r="F32" s="140"/>
      <c r="G32" s="140"/>
      <c r="H32" s="140"/>
      <c r="I32" s="140"/>
      <c r="J32" s="140"/>
      <c r="K32" s="140"/>
      <c r="L32" s="140"/>
      <c r="M32" s="150"/>
      <c r="N32" s="152"/>
      <c r="O32" s="152"/>
      <c r="P32" s="152"/>
      <c r="Q32" s="152"/>
      <c r="R32" s="152"/>
      <c r="S32" s="152"/>
      <c r="T32" s="152"/>
      <c r="U32" s="152"/>
      <c r="V32" s="152"/>
      <c r="W32" s="152"/>
      <c r="X32" s="152"/>
      <c r="Y32" s="152"/>
      <c r="Z32" s="152"/>
    </row>
    <row r="33" spans="2:26" ht="14.25" customHeight="1" thickBot="1">
      <c r="B33" s="140"/>
      <c r="C33" s="295" t="s">
        <v>74</v>
      </c>
      <c r="D33" s="145"/>
      <c r="E33" s="145"/>
      <c r="F33" s="145"/>
      <c r="G33" s="145"/>
      <c r="H33" s="145"/>
      <c r="I33" s="282"/>
      <c r="J33" s="140"/>
      <c r="K33" s="140"/>
      <c r="L33" s="140"/>
      <c r="M33" s="150"/>
      <c r="N33" s="152"/>
      <c r="O33" s="152"/>
      <c r="P33" s="152"/>
      <c r="Q33" s="152"/>
      <c r="R33" s="152"/>
      <c r="S33" s="152"/>
      <c r="T33" s="152"/>
      <c r="U33" s="152"/>
      <c r="V33" s="152"/>
      <c r="W33" s="152"/>
      <c r="X33" s="152"/>
      <c r="Y33" s="152"/>
      <c r="Z33" s="152"/>
    </row>
    <row r="34" spans="2:26" ht="14.25" customHeight="1" thickBot="1">
      <c r="B34" s="140"/>
      <c r="C34" s="295" t="s">
        <v>89</v>
      </c>
      <c r="D34" s="145"/>
      <c r="E34" s="145"/>
      <c r="F34" s="145"/>
      <c r="G34" s="145"/>
      <c r="H34" s="145"/>
      <c r="I34" s="282"/>
      <c r="J34" s="140"/>
      <c r="K34" s="140"/>
      <c r="L34" s="140"/>
      <c r="M34" s="150"/>
      <c r="N34" s="152"/>
      <c r="O34" s="152"/>
      <c r="P34" s="152"/>
      <c r="Q34" s="152"/>
      <c r="R34" s="152"/>
      <c r="S34" s="152"/>
      <c r="T34" s="152"/>
      <c r="U34" s="152"/>
      <c r="V34" s="152"/>
      <c r="W34" s="152"/>
      <c r="X34" s="152"/>
      <c r="Y34" s="152"/>
      <c r="Z34" s="152"/>
    </row>
    <row r="35" spans="2:26" ht="14.25" customHeight="1" thickBot="1">
      <c r="B35" s="140"/>
      <c r="C35" s="295" t="s">
        <v>165</v>
      </c>
      <c r="D35" s="140"/>
      <c r="E35" s="140"/>
      <c r="F35" s="140"/>
      <c r="G35" s="140"/>
      <c r="H35" s="140"/>
      <c r="I35" s="140"/>
      <c r="J35" s="140"/>
      <c r="K35" s="140"/>
      <c r="L35" s="140"/>
      <c r="M35" s="150"/>
      <c r="N35" s="152"/>
      <c r="O35" s="152"/>
      <c r="P35" s="152"/>
      <c r="Q35" s="152"/>
      <c r="R35" s="152"/>
      <c r="S35" s="152"/>
      <c r="T35" s="152"/>
      <c r="U35" s="152"/>
      <c r="V35" s="152"/>
      <c r="W35" s="152"/>
      <c r="X35" s="152"/>
      <c r="Y35" s="152"/>
      <c r="Z35" s="152"/>
    </row>
    <row r="36" spans="2:26" ht="14.25" customHeight="1" thickBot="1">
      <c r="B36" s="140"/>
      <c r="C36" s="295" t="s">
        <v>75</v>
      </c>
      <c r="D36" s="140"/>
      <c r="E36" s="140"/>
      <c r="F36" s="140"/>
      <c r="G36" s="140"/>
      <c r="H36" s="140"/>
      <c r="I36" s="140"/>
      <c r="J36" s="140"/>
      <c r="K36" s="140"/>
      <c r="L36" s="140"/>
      <c r="M36" s="150"/>
      <c r="N36" s="152"/>
      <c r="O36" s="152"/>
      <c r="P36" s="152"/>
      <c r="Q36" s="289"/>
      <c r="R36" s="152"/>
      <c r="S36" s="152"/>
      <c r="T36" s="152"/>
      <c r="U36" s="152"/>
      <c r="V36" s="152"/>
      <c r="W36" s="152"/>
      <c r="X36" s="152"/>
      <c r="Y36" s="152"/>
      <c r="Z36" s="152"/>
    </row>
    <row r="37" spans="2:26" ht="14.25" customHeight="1" thickBot="1">
      <c r="B37" s="140"/>
      <c r="C37" s="295" t="s">
        <v>102</v>
      </c>
      <c r="D37" s="145"/>
      <c r="E37" s="145"/>
      <c r="F37" s="282"/>
      <c r="G37" s="283"/>
      <c r="H37" s="140"/>
      <c r="I37" s="140"/>
      <c r="J37" s="140"/>
      <c r="K37" s="146"/>
      <c r="L37" s="140"/>
      <c r="M37" s="150"/>
      <c r="N37" s="274"/>
      <c r="O37" s="155"/>
      <c r="P37" s="152"/>
      <c r="Q37" s="152"/>
      <c r="R37" s="152"/>
      <c r="S37" s="152"/>
      <c r="T37" s="152"/>
      <c r="U37" s="152"/>
      <c r="V37" s="152"/>
      <c r="W37" s="152"/>
      <c r="X37" s="152"/>
      <c r="Y37" s="152"/>
      <c r="Z37" s="152"/>
    </row>
    <row r="38" spans="2:26" ht="14.25" customHeight="1" thickBot="1">
      <c r="B38" s="140"/>
      <c r="C38" s="295" t="s">
        <v>126</v>
      </c>
      <c r="D38" s="140"/>
      <c r="E38" s="140"/>
      <c r="F38" s="147"/>
      <c r="G38" s="147"/>
      <c r="H38" s="147"/>
      <c r="I38" s="147"/>
      <c r="J38" s="147"/>
      <c r="K38" s="147"/>
      <c r="L38" s="140"/>
      <c r="M38" s="150"/>
      <c r="N38" s="152"/>
      <c r="O38" s="152"/>
      <c r="P38" s="152"/>
      <c r="Q38" s="152"/>
      <c r="R38" s="152"/>
      <c r="S38" s="152"/>
      <c r="T38" s="152"/>
      <c r="U38" s="152"/>
      <c r="V38" s="152"/>
      <c r="W38" s="152"/>
      <c r="X38" s="152"/>
      <c r="Y38" s="152"/>
      <c r="Z38" s="152"/>
    </row>
    <row r="39" spans="2:26" ht="14.25" customHeight="1" thickBot="1">
      <c r="B39" s="140"/>
      <c r="C39" s="295" t="s">
        <v>158</v>
      </c>
      <c r="D39" s="140"/>
      <c r="E39" s="140"/>
      <c r="F39" s="140"/>
      <c r="G39" s="140"/>
      <c r="H39" s="140"/>
      <c r="I39" s="140"/>
      <c r="J39" s="140"/>
      <c r="K39" s="140"/>
      <c r="L39" s="140"/>
      <c r="M39" s="150"/>
      <c r="N39" s="152"/>
      <c r="O39" s="152"/>
      <c r="P39" s="152"/>
      <c r="Q39" s="152"/>
      <c r="R39" s="152"/>
      <c r="S39" s="152"/>
      <c r="T39" s="152"/>
      <c r="U39" s="152"/>
      <c r="V39" s="152"/>
      <c r="W39" s="152"/>
      <c r="X39" s="152"/>
      <c r="Y39" s="152"/>
      <c r="Z39" s="152"/>
    </row>
    <row r="40" spans="2:26" ht="14.25" customHeight="1" thickBot="1">
      <c r="B40" s="140"/>
      <c r="C40" s="295" t="s">
        <v>101</v>
      </c>
      <c r="D40" s="140"/>
      <c r="E40" s="140"/>
      <c r="F40" s="140"/>
      <c r="G40" s="140"/>
      <c r="H40" s="140"/>
      <c r="I40" s="140"/>
      <c r="J40" s="140"/>
      <c r="K40" s="140"/>
      <c r="L40" s="140"/>
      <c r="M40" s="150"/>
      <c r="N40" s="152"/>
      <c r="O40" s="152"/>
      <c r="P40" s="152"/>
      <c r="Q40" s="152"/>
      <c r="R40" s="152"/>
      <c r="S40" s="152"/>
      <c r="T40" s="152"/>
      <c r="U40" s="152"/>
      <c r="V40" s="152"/>
      <c r="W40" s="152"/>
      <c r="X40" s="152"/>
      <c r="Y40" s="152"/>
      <c r="Z40" s="152"/>
    </row>
    <row r="41" spans="2:26" ht="14.25" customHeight="1" thickBot="1">
      <c r="B41" s="140"/>
      <c r="C41" s="295" t="s">
        <v>58</v>
      </c>
      <c r="D41" s="145"/>
      <c r="E41" s="145"/>
      <c r="F41" s="145"/>
      <c r="G41" s="145"/>
      <c r="H41" s="145"/>
      <c r="I41" s="282"/>
      <c r="J41" s="140"/>
      <c r="K41" s="140"/>
      <c r="L41" s="140"/>
      <c r="M41" s="150"/>
      <c r="N41" s="152"/>
      <c r="O41" s="152"/>
      <c r="P41" s="152"/>
      <c r="Q41" s="152"/>
      <c r="R41" s="152"/>
      <c r="S41" s="152"/>
      <c r="T41" s="152"/>
      <c r="U41" s="152"/>
      <c r="V41" s="152"/>
      <c r="W41" s="152"/>
      <c r="X41" s="152"/>
      <c r="Y41" s="152"/>
      <c r="Z41" s="152"/>
    </row>
    <row r="42" spans="2:26" ht="14.25" customHeight="1" thickBot="1">
      <c r="B42" s="140"/>
      <c r="C42" s="295" t="s">
        <v>73</v>
      </c>
      <c r="D42" s="145"/>
      <c r="E42" s="145"/>
      <c r="F42" s="145"/>
      <c r="G42" s="145"/>
      <c r="H42" s="145"/>
      <c r="I42" s="282"/>
      <c r="J42" s="140"/>
      <c r="K42" s="140"/>
      <c r="L42" s="140"/>
      <c r="M42" s="150"/>
      <c r="N42" s="152"/>
      <c r="O42" s="152"/>
      <c r="P42" s="152"/>
      <c r="Q42" s="152"/>
      <c r="R42" s="152"/>
      <c r="S42" s="152"/>
      <c r="T42" s="152"/>
      <c r="U42" s="152"/>
      <c r="V42" s="152"/>
      <c r="W42" s="152"/>
      <c r="X42" s="152"/>
      <c r="Y42" s="152"/>
      <c r="Z42" s="152"/>
    </row>
    <row r="43" spans="2:26" ht="14.25" customHeight="1" thickBot="1">
      <c r="B43" s="140"/>
      <c r="C43" s="295" t="s">
        <v>177</v>
      </c>
      <c r="D43" s="145"/>
      <c r="E43" s="145"/>
      <c r="F43" s="282"/>
      <c r="G43" s="283"/>
      <c r="H43" s="140"/>
      <c r="I43" s="140"/>
      <c r="J43" s="140"/>
      <c r="K43" s="146"/>
      <c r="L43" s="140"/>
      <c r="M43" s="150"/>
      <c r="N43" s="277"/>
      <c r="O43" s="152"/>
      <c r="P43" s="152"/>
      <c r="Q43" s="152"/>
      <c r="R43" s="152"/>
      <c r="S43" s="152"/>
      <c r="T43" s="152"/>
      <c r="U43" s="152"/>
      <c r="V43" s="152"/>
      <c r="W43" s="152"/>
      <c r="X43" s="152"/>
      <c r="Y43" s="152"/>
      <c r="Z43" s="152"/>
    </row>
    <row r="44" spans="2:26" ht="14.25" customHeight="1" thickBot="1">
      <c r="B44" s="140"/>
      <c r="C44" s="295" t="s">
        <v>125</v>
      </c>
      <c r="D44" s="140"/>
      <c r="E44" s="140"/>
      <c r="F44" s="140"/>
      <c r="G44" s="140"/>
      <c r="H44" s="140"/>
      <c r="I44" s="140"/>
      <c r="J44" s="140"/>
      <c r="K44" s="140"/>
      <c r="L44" s="140"/>
      <c r="M44" s="150"/>
      <c r="N44" s="152"/>
      <c r="O44" s="152"/>
      <c r="P44" s="152"/>
      <c r="Q44" s="152"/>
      <c r="R44" s="152"/>
      <c r="S44" s="152"/>
      <c r="T44" s="152"/>
      <c r="U44" s="152"/>
      <c r="V44" s="152"/>
      <c r="W44" s="152"/>
      <c r="X44" s="152"/>
      <c r="Y44" s="152"/>
      <c r="Z44" s="152"/>
    </row>
    <row r="45" spans="2:26" ht="15.75" customHeight="1" thickBot="1">
      <c r="B45" s="140"/>
      <c r="C45" s="295" t="s">
        <v>159</v>
      </c>
      <c r="D45" s="284"/>
      <c r="E45" s="284"/>
      <c r="F45" s="284"/>
      <c r="G45" s="285"/>
      <c r="H45" s="285"/>
      <c r="I45" s="285"/>
      <c r="J45" s="285"/>
      <c r="K45" s="285"/>
      <c r="L45" s="285"/>
      <c r="M45" s="150"/>
      <c r="N45" s="152"/>
      <c r="O45" s="152"/>
      <c r="P45" s="152"/>
      <c r="Q45" s="152"/>
      <c r="R45" s="152"/>
      <c r="S45" s="152"/>
      <c r="T45" s="152"/>
      <c r="U45" s="152"/>
      <c r="V45" s="152"/>
      <c r="W45" s="152"/>
      <c r="X45" s="152"/>
      <c r="Y45" s="152"/>
      <c r="Z45" s="152"/>
    </row>
    <row r="46" spans="2:26" ht="14.25" customHeight="1" thickBot="1">
      <c r="B46" s="140"/>
      <c r="C46" s="295" t="s">
        <v>65</v>
      </c>
      <c r="D46" s="140"/>
      <c r="E46" s="140"/>
      <c r="F46" s="165"/>
      <c r="G46" s="140"/>
      <c r="H46" s="146"/>
      <c r="I46" s="140"/>
      <c r="J46" s="140"/>
      <c r="K46" s="140"/>
      <c r="L46" s="140"/>
      <c r="M46" s="150"/>
      <c r="N46" s="152"/>
      <c r="O46" s="152"/>
      <c r="P46" s="152"/>
      <c r="Q46" s="152"/>
      <c r="R46" s="152"/>
      <c r="S46" s="152"/>
      <c r="T46" s="152"/>
      <c r="U46" s="152"/>
      <c r="V46" s="152"/>
      <c r="W46" s="152"/>
      <c r="X46" s="152"/>
      <c r="Y46" s="152"/>
      <c r="Z46" s="152"/>
    </row>
    <row r="47" spans="2:26" ht="14.25" customHeight="1" thickBot="1">
      <c r="B47" s="140"/>
      <c r="C47" s="295" t="s">
        <v>151</v>
      </c>
      <c r="D47" s="140"/>
      <c r="E47" s="140"/>
      <c r="F47" s="140"/>
      <c r="G47" s="140"/>
      <c r="H47" s="140"/>
      <c r="I47" s="140"/>
      <c r="J47" s="140"/>
      <c r="K47" s="140"/>
      <c r="L47" s="140"/>
      <c r="M47" s="150"/>
      <c r="N47" s="152"/>
      <c r="O47" s="152"/>
      <c r="P47" s="152"/>
      <c r="Q47" s="152"/>
      <c r="R47" s="152"/>
      <c r="S47" s="152"/>
      <c r="T47" s="152"/>
      <c r="U47" s="152"/>
      <c r="V47" s="152"/>
      <c r="W47" s="152"/>
      <c r="X47" s="152"/>
      <c r="Y47" s="152"/>
      <c r="Z47" s="152"/>
    </row>
    <row r="48" spans="2:26" ht="18" customHeight="1" thickBot="1">
      <c r="B48" s="140"/>
      <c r="C48" s="295" t="s">
        <v>115</v>
      </c>
      <c r="D48" s="140"/>
      <c r="E48" s="140"/>
      <c r="F48" s="145"/>
      <c r="G48" s="145"/>
      <c r="H48" s="145"/>
      <c r="I48" s="145"/>
      <c r="J48" s="145"/>
      <c r="K48" s="145"/>
      <c r="L48" s="140"/>
      <c r="M48" s="150"/>
      <c r="N48" s="152"/>
      <c r="O48" s="152"/>
      <c r="P48" s="152"/>
      <c r="Q48" s="152"/>
      <c r="R48" s="152"/>
      <c r="S48" s="152"/>
      <c r="T48" s="152"/>
      <c r="U48" s="152"/>
      <c r="V48" s="152"/>
      <c r="W48" s="152"/>
      <c r="X48" s="152"/>
      <c r="Y48" s="152"/>
      <c r="Z48" s="152"/>
    </row>
    <row r="49" spans="2:26" ht="14.25" customHeight="1" thickBot="1">
      <c r="B49" s="140"/>
      <c r="C49" s="295" t="s">
        <v>144</v>
      </c>
      <c r="D49" s="145"/>
      <c r="E49" s="290"/>
      <c r="F49" s="290"/>
      <c r="G49" s="290"/>
      <c r="H49" s="290"/>
      <c r="I49" s="270"/>
      <c r="J49" s="291"/>
      <c r="K49" s="140"/>
      <c r="L49" s="140"/>
      <c r="M49" s="150"/>
      <c r="N49" s="152"/>
      <c r="O49" s="152"/>
      <c r="P49" s="152"/>
      <c r="Q49" s="152"/>
      <c r="R49" s="152"/>
      <c r="S49" s="152"/>
      <c r="T49" s="152"/>
      <c r="U49" s="152"/>
      <c r="V49" s="152"/>
      <c r="W49" s="152"/>
      <c r="X49" s="152"/>
      <c r="Y49" s="152"/>
      <c r="Z49" s="152"/>
    </row>
    <row r="50" spans="2:26" ht="14.25" customHeight="1" thickBot="1">
      <c r="B50" s="140"/>
      <c r="C50" s="295" t="s">
        <v>140</v>
      </c>
      <c r="D50" s="145"/>
      <c r="E50" s="145"/>
      <c r="F50" s="145"/>
      <c r="G50" s="270"/>
      <c r="H50" s="272"/>
      <c r="I50" s="272"/>
      <c r="J50" s="272"/>
      <c r="K50" s="272"/>
      <c r="L50" s="272"/>
      <c r="M50" s="150"/>
      <c r="N50" s="152"/>
      <c r="O50" s="152"/>
      <c r="P50" s="152"/>
      <c r="Q50" s="152"/>
      <c r="R50" s="152"/>
      <c r="S50" s="152"/>
      <c r="T50" s="152"/>
      <c r="U50" s="152"/>
      <c r="V50" s="152"/>
      <c r="W50" s="152"/>
      <c r="X50" s="152"/>
      <c r="Y50" s="152"/>
      <c r="Z50" s="152"/>
    </row>
    <row r="51" spans="2:26" ht="14.25" customHeight="1">
      <c r="B51" s="140"/>
      <c r="C51" s="140"/>
      <c r="D51" s="140"/>
      <c r="E51" s="140"/>
      <c r="F51" s="140"/>
      <c r="G51" s="140"/>
      <c r="H51" s="140"/>
      <c r="I51" s="140"/>
      <c r="J51" s="140"/>
      <c r="K51" s="140"/>
      <c r="L51" s="140"/>
      <c r="M51" s="150"/>
      <c r="N51" s="152"/>
      <c r="O51" s="152"/>
      <c r="P51" s="152"/>
      <c r="Q51" s="152"/>
      <c r="R51" s="152"/>
      <c r="S51" s="152"/>
      <c r="T51" s="152"/>
      <c r="U51" s="152"/>
      <c r="V51" s="152"/>
      <c r="W51" s="152"/>
      <c r="X51" s="152"/>
      <c r="Y51" s="152"/>
      <c r="Z51" s="152"/>
    </row>
    <row r="52" spans="2:26" ht="14.25" customHeight="1">
      <c r="B52" s="140"/>
      <c r="C52" s="140"/>
      <c r="D52" s="140"/>
      <c r="E52" s="140"/>
      <c r="F52" s="140"/>
      <c r="G52" s="140"/>
      <c r="H52" s="140"/>
      <c r="I52" s="140"/>
      <c r="J52" s="140"/>
      <c r="K52" s="140"/>
      <c r="L52" s="140"/>
      <c r="M52" s="150"/>
      <c r="N52" s="152"/>
      <c r="O52" s="152"/>
      <c r="P52" s="152"/>
      <c r="Q52" s="152"/>
      <c r="R52" s="152"/>
      <c r="S52" s="152"/>
      <c r="T52" s="152"/>
      <c r="U52" s="152"/>
      <c r="V52" s="152"/>
      <c r="W52" s="152"/>
      <c r="X52" s="152"/>
      <c r="Y52" s="152"/>
      <c r="Z52" s="152"/>
    </row>
    <row r="53" spans="2:26" ht="14.25" customHeight="1">
      <c r="B53" s="140"/>
      <c r="C53" s="140"/>
      <c r="D53" s="140"/>
      <c r="E53" s="140"/>
      <c r="F53" s="292"/>
      <c r="G53" s="292"/>
      <c r="H53" s="292"/>
      <c r="I53" s="292"/>
      <c r="J53" s="292"/>
      <c r="K53" s="292"/>
      <c r="L53" s="293"/>
      <c r="M53" s="150"/>
      <c r="N53" s="152"/>
      <c r="O53" s="152"/>
      <c r="P53" s="152"/>
      <c r="Q53" s="152"/>
      <c r="R53" s="152"/>
      <c r="S53" s="152"/>
      <c r="T53" s="152"/>
      <c r="U53" s="152"/>
      <c r="V53" s="152"/>
      <c r="W53" s="152"/>
      <c r="X53" s="152"/>
      <c r="Y53" s="152"/>
      <c r="Z53" s="152"/>
    </row>
    <row r="54" spans="2:26" ht="14.25" customHeight="1">
      <c r="B54" s="140"/>
      <c r="C54" s="140"/>
      <c r="D54" s="140"/>
      <c r="E54" s="140"/>
      <c r="F54" s="147"/>
      <c r="G54" s="147"/>
      <c r="H54" s="147"/>
      <c r="I54" s="147"/>
      <c r="J54" s="147"/>
      <c r="K54" s="147"/>
      <c r="L54" s="140"/>
      <c r="M54" s="150"/>
      <c r="N54" s="152"/>
      <c r="O54" s="152"/>
      <c r="P54" s="152"/>
      <c r="Q54" s="152"/>
      <c r="R54" s="152"/>
      <c r="S54" s="152"/>
      <c r="T54" s="152"/>
      <c r="U54" s="152"/>
      <c r="V54" s="152"/>
      <c r="W54" s="152"/>
      <c r="X54" s="152"/>
      <c r="Y54" s="152"/>
      <c r="Z54" s="152"/>
    </row>
    <row r="55" spans="2:26" ht="14.25" customHeight="1">
      <c r="B55" s="140"/>
      <c r="C55" s="140"/>
      <c r="D55" s="140"/>
      <c r="E55" s="140"/>
      <c r="F55" s="147"/>
      <c r="G55" s="147"/>
      <c r="H55" s="147"/>
      <c r="I55" s="147"/>
      <c r="J55" s="147"/>
      <c r="K55" s="147"/>
      <c r="L55" s="140"/>
      <c r="M55" s="150"/>
      <c r="N55" s="152"/>
      <c r="O55" s="152"/>
      <c r="P55" s="152"/>
      <c r="Q55" s="152"/>
      <c r="R55" s="152"/>
      <c r="S55" s="152"/>
      <c r="T55" s="152"/>
      <c r="U55" s="152"/>
      <c r="V55" s="152"/>
      <c r="W55" s="152"/>
      <c r="X55" s="152"/>
      <c r="Y55" s="152"/>
      <c r="Z55" s="152"/>
    </row>
    <row r="56" spans="2:26" ht="14.25" customHeight="1">
      <c r="B56" s="140"/>
      <c r="C56" s="140"/>
      <c r="D56" s="140"/>
      <c r="E56" s="140"/>
      <c r="F56" s="145"/>
      <c r="G56" s="145"/>
      <c r="H56" s="145"/>
      <c r="I56" s="145"/>
      <c r="J56" s="145"/>
      <c r="K56" s="145"/>
      <c r="L56" s="140"/>
      <c r="M56" s="150"/>
      <c r="N56" s="152"/>
      <c r="O56" s="152"/>
      <c r="P56" s="152"/>
      <c r="Q56" s="152"/>
      <c r="R56" s="152"/>
      <c r="S56" s="152"/>
      <c r="T56" s="152"/>
      <c r="U56" s="152"/>
      <c r="V56" s="152"/>
      <c r="W56" s="152"/>
      <c r="X56" s="152"/>
      <c r="Y56" s="152"/>
      <c r="Z56" s="152"/>
    </row>
    <row r="57" spans="2:26" ht="14.25" customHeight="1">
      <c r="B57" s="140"/>
      <c r="C57" s="140"/>
      <c r="D57" s="140"/>
      <c r="E57" s="140"/>
      <c r="F57" s="140"/>
      <c r="G57" s="140"/>
      <c r="H57" s="140"/>
      <c r="I57" s="140"/>
      <c r="J57" s="140"/>
      <c r="K57" s="140"/>
      <c r="L57" s="140"/>
      <c r="M57" s="150"/>
      <c r="N57" s="152"/>
      <c r="O57" s="152"/>
      <c r="P57" s="152"/>
      <c r="Q57" s="152"/>
      <c r="R57" s="152"/>
      <c r="S57" s="152"/>
      <c r="T57" s="152"/>
      <c r="U57" s="152"/>
      <c r="V57" s="152"/>
      <c r="W57" s="152"/>
      <c r="X57" s="152"/>
      <c r="Y57" s="152"/>
      <c r="Z57" s="152"/>
    </row>
    <row r="58" spans="2:26" ht="14.25" customHeight="1">
      <c r="B58" s="140"/>
      <c r="C58" s="141"/>
      <c r="D58" s="140"/>
      <c r="E58" s="140"/>
      <c r="F58" s="140"/>
      <c r="G58" s="140"/>
      <c r="H58" s="140"/>
      <c r="I58" s="140"/>
      <c r="J58" s="140"/>
      <c r="K58" s="140"/>
      <c r="L58" s="140"/>
      <c r="M58" s="150"/>
      <c r="N58" s="152"/>
      <c r="O58" s="152"/>
      <c r="P58" s="152"/>
      <c r="Q58" s="152"/>
      <c r="R58" s="152"/>
      <c r="S58" s="152"/>
      <c r="T58" s="152"/>
      <c r="U58" s="152"/>
      <c r="V58" s="152"/>
      <c r="W58" s="152"/>
      <c r="X58" s="152"/>
      <c r="Y58" s="152"/>
      <c r="Z58" s="152"/>
    </row>
    <row r="59" spans="2:26" ht="14.25" customHeight="1">
      <c r="B59" s="140"/>
      <c r="C59" s="140"/>
      <c r="D59" s="140"/>
      <c r="E59" s="140"/>
      <c r="F59" s="140"/>
      <c r="G59" s="140"/>
      <c r="H59" s="140"/>
      <c r="I59" s="140"/>
      <c r="J59" s="140"/>
      <c r="K59" s="140"/>
      <c r="L59" s="140"/>
      <c r="M59" s="150"/>
      <c r="N59" s="152"/>
      <c r="O59" s="152"/>
      <c r="P59" s="152"/>
      <c r="Q59" s="152"/>
      <c r="R59" s="152"/>
      <c r="S59" s="152"/>
      <c r="T59" s="152"/>
      <c r="U59" s="152"/>
      <c r="V59" s="152"/>
      <c r="W59" s="152"/>
      <c r="X59" s="152"/>
      <c r="Y59" s="152"/>
      <c r="Z59" s="152"/>
    </row>
    <row r="60" spans="2:26" ht="14.25" customHeight="1">
      <c r="B60" s="140"/>
      <c r="C60" s="140"/>
      <c r="D60" s="140"/>
      <c r="E60" s="140"/>
      <c r="F60" s="140"/>
      <c r="G60" s="140"/>
      <c r="H60" s="140"/>
      <c r="I60" s="140"/>
      <c r="J60" s="140"/>
      <c r="K60" s="140"/>
      <c r="L60" s="140"/>
      <c r="M60" s="150"/>
      <c r="N60" s="152"/>
      <c r="O60" s="152"/>
      <c r="P60" s="152"/>
      <c r="Q60" s="152"/>
      <c r="R60" s="152"/>
      <c r="S60" s="152"/>
      <c r="T60" s="152"/>
      <c r="U60" s="152"/>
      <c r="V60" s="152"/>
      <c r="W60" s="152"/>
      <c r="X60" s="152"/>
      <c r="Y60" s="152"/>
      <c r="Z60" s="152"/>
    </row>
    <row r="61" spans="2:26" ht="14.25" customHeight="1">
      <c r="B61" s="140"/>
      <c r="C61" s="140"/>
      <c r="D61" s="140"/>
      <c r="E61" s="140"/>
      <c r="F61" s="140"/>
      <c r="G61" s="140"/>
      <c r="H61" s="140"/>
      <c r="I61" s="140"/>
      <c r="J61" s="140"/>
      <c r="K61" s="140"/>
      <c r="L61" s="140"/>
      <c r="M61" s="150"/>
      <c r="N61" s="152"/>
      <c r="O61" s="152"/>
      <c r="P61" s="152"/>
      <c r="Q61" s="152"/>
      <c r="R61" s="152"/>
      <c r="S61" s="152"/>
      <c r="T61" s="152"/>
      <c r="U61" s="152"/>
      <c r="V61" s="152"/>
      <c r="W61" s="152"/>
      <c r="X61" s="152"/>
      <c r="Y61" s="152"/>
      <c r="Z61" s="152"/>
    </row>
    <row r="62" spans="2:26" ht="14.25" customHeight="1">
      <c r="B62" s="140"/>
      <c r="C62" s="140"/>
      <c r="D62" s="140"/>
      <c r="E62" s="140"/>
      <c r="F62" s="140"/>
      <c r="G62" s="140"/>
      <c r="H62" s="140"/>
      <c r="I62" s="140"/>
      <c r="J62" s="140"/>
      <c r="K62" s="140"/>
      <c r="L62" s="140"/>
      <c r="M62" s="150"/>
      <c r="N62" s="152"/>
      <c r="O62" s="152"/>
      <c r="P62" s="152"/>
      <c r="Q62" s="152"/>
      <c r="R62" s="152"/>
      <c r="S62" s="152"/>
      <c r="T62" s="152"/>
      <c r="U62" s="152"/>
      <c r="V62" s="152"/>
      <c r="W62" s="152"/>
      <c r="X62" s="152"/>
      <c r="Y62" s="152"/>
      <c r="Z62" s="152"/>
    </row>
    <row r="63" spans="2:26" ht="14.25" customHeight="1">
      <c r="B63" s="140"/>
      <c r="C63" s="140"/>
      <c r="D63" s="140"/>
      <c r="E63" s="140"/>
      <c r="F63" s="140"/>
      <c r="G63" s="140"/>
      <c r="H63" s="140"/>
      <c r="I63" s="140"/>
      <c r="J63" s="140"/>
      <c r="K63" s="140"/>
      <c r="L63" s="140"/>
      <c r="M63" s="150"/>
      <c r="N63" s="152"/>
      <c r="O63" s="152"/>
      <c r="P63" s="152"/>
      <c r="Q63" s="152"/>
      <c r="R63" s="152"/>
      <c r="S63" s="152"/>
      <c r="T63" s="152"/>
      <c r="U63" s="152"/>
      <c r="V63" s="152"/>
      <c r="W63" s="152"/>
      <c r="X63" s="152"/>
      <c r="Y63" s="152"/>
      <c r="Z63" s="152"/>
    </row>
    <row r="64" spans="2:26" ht="14.25" customHeight="1">
      <c r="B64" s="140"/>
      <c r="C64" s="140"/>
      <c r="D64" s="140"/>
      <c r="E64" s="140"/>
      <c r="F64" s="140"/>
      <c r="G64" s="140"/>
      <c r="H64" s="140"/>
      <c r="I64" s="140"/>
      <c r="J64" s="140"/>
      <c r="K64" s="140"/>
      <c r="L64" s="140"/>
      <c r="M64" s="150"/>
      <c r="N64" s="152"/>
      <c r="O64" s="152"/>
      <c r="P64" s="152"/>
      <c r="Q64" s="152"/>
      <c r="R64" s="152"/>
      <c r="S64" s="152"/>
      <c r="T64" s="152"/>
      <c r="U64" s="152"/>
      <c r="V64" s="152"/>
      <c r="W64" s="152"/>
      <c r="X64" s="152"/>
      <c r="Y64" s="152"/>
      <c r="Z64" s="152"/>
    </row>
    <row r="65" spans="2:26" ht="14.25" customHeight="1">
      <c r="B65" s="140"/>
      <c r="C65" s="140"/>
      <c r="D65" s="140"/>
      <c r="E65" s="140"/>
      <c r="F65" s="140"/>
      <c r="G65" s="140"/>
      <c r="H65" s="140"/>
      <c r="I65" s="140"/>
      <c r="J65" s="140"/>
      <c r="K65" s="140"/>
      <c r="L65" s="140"/>
      <c r="M65" s="150"/>
      <c r="N65" s="152"/>
      <c r="O65" s="152"/>
      <c r="P65" s="152"/>
      <c r="Q65" s="152"/>
      <c r="R65" s="152"/>
      <c r="S65" s="152"/>
      <c r="T65" s="152"/>
      <c r="U65" s="152"/>
      <c r="V65" s="152"/>
      <c r="W65" s="152"/>
      <c r="X65" s="152"/>
      <c r="Y65" s="152"/>
      <c r="Z65" s="152"/>
    </row>
    <row r="66" spans="2:26" ht="14.25" customHeight="1">
      <c r="B66" s="140"/>
      <c r="C66" s="140"/>
      <c r="D66" s="140"/>
      <c r="E66" s="140"/>
      <c r="F66" s="140"/>
      <c r="G66" s="140"/>
      <c r="H66" s="140"/>
      <c r="I66" s="140"/>
      <c r="J66" s="140"/>
      <c r="K66" s="140"/>
      <c r="L66" s="140"/>
      <c r="M66" s="150"/>
      <c r="N66" s="152"/>
      <c r="O66" s="152"/>
      <c r="P66" s="152"/>
      <c r="Q66" s="152"/>
      <c r="R66" s="152"/>
      <c r="S66" s="152"/>
      <c r="T66" s="152"/>
      <c r="U66" s="152"/>
      <c r="V66" s="152"/>
      <c r="W66" s="152"/>
      <c r="X66" s="152"/>
      <c r="Y66" s="152"/>
      <c r="Z66" s="152"/>
    </row>
    <row r="67" spans="2:26" ht="14.25" customHeight="1">
      <c r="B67" s="140"/>
      <c r="C67" s="140"/>
      <c r="D67" s="140"/>
      <c r="E67" s="140"/>
      <c r="F67" s="140"/>
      <c r="G67" s="140"/>
      <c r="H67" s="140"/>
      <c r="I67" s="140"/>
      <c r="J67" s="140"/>
      <c r="K67" s="140"/>
      <c r="L67" s="140"/>
      <c r="M67" s="150"/>
      <c r="N67" s="152"/>
      <c r="O67" s="152"/>
      <c r="P67" s="152"/>
      <c r="Q67" s="152"/>
      <c r="R67" s="152"/>
      <c r="S67" s="152"/>
      <c r="T67" s="152"/>
      <c r="U67" s="152"/>
      <c r="V67" s="152"/>
      <c r="W67" s="152"/>
      <c r="X67" s="152"/>
      <c r="Y67" s="152"/>
      <c r="Z67" s="152"/>
    </row>
    <row r="68" spans="2:26" ht="14.25" customHeight="1">
      <c r="B68" s="140"/>
      <c r="C68" s="140"/>
      <c r="D68" s="140"/>
      <c r="E68" s="140"/>
      <c r="F68" s="140"/>
      <c r="G68" s="140"/>
      <c r="H68" s="140"/>
      <c r="I68" s="140"/>
      <c r="J68" s="140"/>
      <c r="K68" s="140"/>
      <c r="L68" s="140"/>
      <c r="M68" s="150"/>
      <c r="N68" s="152"/>
      <c r="O68" s="152"/>
      <c r="P68" s="152"/>
      <c r="Q68" s="152"/>
      <c r="R68" s="152"/>
      <c r="S68" s="152"/>
      <c r="T68" s="152"/>
      <c r="U68" s="152"/>
      <c r="V68" s="152"/>
      <c r="W68" s="152"/>
      <c r="X68" s="152"/>
      <c r="Y68" s="152"/>
      <c r="Z68" s="152"/>
    </row>
    <row r="69" spans="2:26" ht="14.25" customHeight="1">
      <c r="B69" s="140"/>
      <c r="C69" s="140"/>
      <c r="D69" s="140"/>
      <c r="E69" s="140"/>
      <c r="F69" s="140"/>
      <c r="G69" s="140"/>
      <c r="H69" s="140"/>
      <c r="I69" s="140"/>
      <c r="J69" s="140"/>
      <c r="K69" s="140"/>
      <c r="L69" s="140"/>
      <c r="M69" s="150"/>
      <c r="N69" s="152"/>
      <c r="O69" s="152"/>
      <c r="P69" s="152"/>
      <c r="Q69" s="152"/>
      <c r="R69" s="152"/>
      <c r="S69" s="152"/>
      <c r="T69" s="152"/>
      <c r="U69" s="152"/>
      <c r="V69" s="152"/>
      <c r="W69" s="152"/>
      <c r="X69" s="152"/>
      <c r="Y69" s="152"/>
      <c r="Z69" s="152"/>
    </row>
    <row r="70" spans="2:26" ht="14.25" customHeight="1">
      <c r="B70" s="140"/>
      <c r="C70" s="140"/>
      <c r="D70" s="140"/>
      <c r="E70" s="140"/>
      <c r="F70" s="140"/>
      <c r="G70" s="140"/>
      <c r="H70" s="140"/>
      <c r="I70" s="140"/>
      <c r="J70" s="140"/>
      <c r="K70" s="140"/>
      <c r="L70" s="140"/>
      <c r="M70" s="150"/>
      <c r="N70" s="152"/>
      <c r="O70" s="152"/>
      <c r="P70" s="152"/>
      <c r="Q70" s="152"/>
      <c r="R70" s="152"/>
      <c r="S70" s="152"/>
      <c r="T70" s="152"/>
      <c r="U70" s="152"/>
      <c r="V70" s="152"/>
      <c r="W70" s="152"/>
      <c r="X70" s="152"/>
      <c r="Y70" s="152"/>
      <c r="Z70" s="152"/>
    </row>
    <row r="71" spans="2:26" ht="14.25" customHeight="1">
      <c r="B71" s="140"/>
      <c r="C71" s="140"/>
      <c r="D71" s="140"/>
      <c r="E71" s="140"/>
      <c r="F71" s="140"/>
      <c r="G71" s="140"/>
      <c r="H71" s="140"/>
      <c r="I71" s="140"/>
      <c r="J71" s="140"/>
      <c r="K71" s="140"/>
      <c r="L71" s="140"/>
      <c r="M71" s="150"/>
      <c r="N71" s="152"/>
      <c r="O71" s="152"/>
      <c r="P71" s="152"/>
      <c r="Q71" s="152"/>
      <c r="R71" s="152"/>
      <c r="S71" s="152"/>
      <c r="T71" s="152"/>
      <c r="U71" s="152"/>
      <c r="V71" s="152"/>
      <c r="W71" s="152"/>
      <c r="X71" s="152"/>
      <c r="Y71" s="152"/>
      <c r="Z71" s="152"/>
    </row>
    <row r="72" spans="2:26" ht="14.25" customHeight="1">
      <c r="B72" s="140"/>
      <c r="C72" s="140"/>
      <c r="D72" s="140"/>
      <c r="E72" s="140"/>
      <c r="F72" s="140"/>
      <c r="G72" s="140"/>
      <c r="H72" s="140"/>
      <c r="I72" s="140"/>
      <c r="J72" s="140"/>
      <c r="K72" s="140"/>
      <c r="L72" s="140"/>
      <c r="M72" s="150"/>
      <c r="N72" s="152"/>
      <c r="O72" s="152"/>
      <c r="P72" s="152"/>
      <c r="Q72" s="152"/>
      <c r="R72" s="152"/>
      <c r="S72" s="152"/>
      <c r="T72" s="152"/>
      <c r="U72" s="152"/>
      <c r="V72" s="152"/>
      <c r="W72" s="152"/>
      <c r="X72" s="152"/>
      <c r="Y72" s="152"/>
      <c r="Z72" s="152"/>
    </row>
    <row r="73" spans="2:26" ht="14.25" customHeight="1">
      <c r="B73" s="140"/>
      <c r="C73" s="140"/>
      <c r="D73" s="140"/>
      <c r="E73" s="140"/>
      <c r="F73" s="140"/>
      <c r="G73" s="140"/>
      <c r="H73" s="140"/>
      <c r="I73" s="140"/>
      <c r="J73" s="140"/>
      <c r="K73" s="140"/>
      <c r="L73" s="140"/>
      <c r="M73" s="150"/>
      <c r="N73" s="152"/>
      <c r="O73" s="152"/>
      <c r="P73" s="152"/>
      <c r="Q73" s="152"/>
      <c r="R73" s="152"/>
      <c r="S73" s="152"/>
      <c r="T73" s="152"/>
      <c r="U73" s="152"/>
      <c r="V73" s="152"/>
      <c r="W73" s="152"/>
      <c r="X73" s="152"/>
      <c r="Y73" s="152"/>
      <c r="Z73" s="152"/>
    </row>
    <row r="74" spans="2:26" ht="14.25" customHeight="1">
      <c r="B74" s="140"/>
      <c r="C74" s="140"/>
      <c r="D74" s="140"/>
      <c r="E74" s="140"/>
      <c r="F74" s="140"/>
      <c r="G74" s="140"/>
      <c r="H74" s="140"/>
      <c r="I74" s="140"/>
      <c r="J74" s="140"/>
      <c r="K74" s="140"/>
      <c r="L74" s="140"/>
      <c r="M74" s="150"/>
      <c r="N74" s="152"/>
      <c r="O74" s="152"/>
      <c r="P74" s="152"/>
      <c r="Q74" s="152"/>
      <c r="R74" s="152"/>
      <c r="S74" s="152"/>
      <c r="T74" s="152"/>
      <c r="U74" s="152"/>
      <c r="V74" s="152"/>
      <c r="W74" s="152"/>
      <c r="X74" s="152"/>
      <c r="Y74" s="152"/>
      <c r="Z74" s="152"/>
    </row>
    <row r="75" spans="2:26" ht="14.25" customHeight="1">
      <c r="B75" s="140"/>
      <c r="C75" s="140"/>
      <c r="D75" s="140"/>
      <c r="E75" s="140"/>
      <c r="F75" s="140"/>
      <c r="G75" s="140"/>
      <c r="H75" s="140"/>
      <c r="I75" s="140"/>
      <c r="J75" s="140"/>
      <c r="K75" s="140"/>
      <c r="L75" s="140"/>
      <c r="M75" s="150"/>
      <c r="N75" s="152"/>
      <c r="O75" s="152"/>
      <c r="P75" s="152"/>
      <c r="Q75" s="152"/>
      <c r="R75" s="152"/>
      <c r="S75" s="152"/>
      <c r="T75" s="152"/>
      <c r="U75" s="152"/>
      <c r="V75" s="152"/>
      <c r="W75" s="152"/>
      <c r="X75" s="152"/>
      <c r="Y75" s="152"/>
      <c r="Z75" s="152"/>
    </row>
    <row r="76" spans="2:26" ht="14.25" customHeight="1">
      <c r="B76" s="140"/>
      <c r="C76" s="140"/>
      <c r="D76" s="140"/>
      <c r="E76" s="140"/>
      <c r="F76" s="140"/>
      <c r="G76" s="140"/>
      <c r="H76" s="140"/>
      <c r="I76" s="140"/>
      <c r="J76" s="140"/>
      <c r="K76" s="140"/>
      <c r="L76" s="140"/>
      <c r="M76" s="150"/>
      <c r="N76" s="152"/>
      <c r="O76" s="152"/>
      <c r="P76" s="152"/>
      <c r="Q76" s="152"/>
      <c r="R76" s="152"/>
      <c r="S76" s="152"/>
      <c r="T76" s="152"/>
      <c r="U76" s="152"/>
      <c r="V76" s="152"/>
      <c r="W76" s="152"/>
      <c r="X76" s="152"/>
      <c r="Y76" s="152"/>
      <c r="Z76" s="152"/>
    </row>
    <row r="77" spans="2:26" ht="14.25" customHeight="1">
      <c r="B77" s="140"/>
      <c r="C77" s="140"/>
      <c r="D77" s="140"/>
      <c r="E77" s="140"/>
      <c r="F77" s="140"/>
      <c r="G77" s="140"/>
      <c r="H77" s="140"/>
      <c r="I77" s="140"/>
      <c r="J77" s="140"/>
      <c r="K77" s="140"/>
      <c r="L77" s="140"/>
      <c r="M77" s="150"/>
      <c r="N77" s="152"/>
      <c r="O77" s="152"/>
      <c r="P77" s="152"/>
      <c r="Q77" s="152"/>
      <c r="R77" s="152"/>
      <c r="S77" s="152"/>
      <c r="T77" s="152"/>
      <c r="U77" s="152"/>
      <c r="V77" s="152"/>
      <c r="W77" s="152"/>
      <c r="X77" s="152"/>
      <c r="Y77" s="152"/>
      <c r="Z77" s="152"/>
    </row>
  </sheetData>
  <autoFilter ref="C5:C50" xr:uid="{00000000-0009-0000-0000-000005000000}"/>
  <sortState xmlns:xlrd2="http://schemas.microsoft.com/office/spreadsheetml/2017/richdata2" ref="C6:C50">
    <sortCondition ref="C50"/>
  </sortState>
  <mergeCells count="3">
    <mergeCell ref="C2:C3"/>
    <mergeCell ref="N5:O5"/>
    <mergeCell ref="Q5:R5"/>
  </mergeCells>
  <hyperlinks>
    <hyperlink ref="C9" r:id="rId1" xr:uid="{00000000-0004-0000-0500-000000000000}"/>
    <hyperlink ref="C44" r:id="rId2" xr:uid="{00000000-0004-0000-0500-000001000000}"/>
    <hyperlink ref="C24" r:id="rId3" xr:uid="{00000000-0004-0000-0500-000002000000}"/>
    <hyperlink ref="C38" r:id="rId4" xr:uid="{00000000-0004-0000-0500-000003000000}"/>
    <hyperlink ref="C42" r:id="rId5" xr:uid="{00000000-0004-0000-0500-000004000000}"/>
    <hyperlink ref="C11" r:id="rId6" xr:uid="{00000000-0004-0000-0500-000005000000}"/>
    <hyperlink ref="C29" r:id="rId7" xr:uid="{00000000-0004-0000-0500-000006000000}"/>
    <hyperlink ref="C15" r:id="rId8" xr:uid="{00000000-0004-0000-0500-000007000000}"/>
    <hyperlink ref="C25" r:id="rId9" xr:uid="{00000000-0004-0000-0500-000008000000}"/>
    <hyperlink ref="C16" r:id="rId10" xr:uid="{00000000-0004-0000-0500-000009000000}"/>
    <hyperlink ref="C48" r:id="rId11" xr:uid="{00000000-0004-0000-0500-00000A000000}"/>
    <hyperlink ref="C28" r:id="rId12" xr:uid="{00000000-0004-0000-0500-00000B000000}"/>
    <hyperlink ref="C18" r:id="rId13" xr:uid="{00000000-0004-0000-0500-00000C000000}"/>
    <hyperlink ref="C13" r:id="rId14" xr:uid="{00000000-0004-0000-0500-00000D000000}"/>
    <hyperlink ref="C10" r:id="rId15" xr:uid="{00000000-0004-0000-0500-00000E000000}"/>
    <hyperlink ref="C21" r:id="rId16" xr:uid="{00000000-0004-0000-0500-00000F000000}"/>
    <hyperlink ref="C30" r:id="rId17" xr:uid="{00000000-0004-0000-0500-000010000000}"/>
    <hyperlink ref="C31" r:id="rId18" xr:uid="{00000000-0004-0000-0500-000011000000}"/>
    <hyperlink ref="C34" r:id="rId19" xr:uid="{00000000-0004-0000-0500-000012000000}"/>
    <hyperlink ref="C33" r:id="rId20" xr:uid="{00000000-0004-0000-0500-000013000000}"/>
    <hyperlink ref="C17" r:id="rId21" xr:uid="{00000000-0004-0000-0500-000014000000}"/>
    <hyperlink ref="C8" r:id="rId22" xr:uid="{00000000-0004-0000-0500-000015000000}"/>
    <hyperlink ref="C20" r:id="rId23" xr:uid="{00000000-0004-0000-0500-000016000000}"/>
    <hyperlink ref="C37" r:id="rId24" xr:uid="{00000000-0004-0000-0500-000017000000}"/>
    <hyperlink ref="C26" r:id="rId25" xr:uid="{00000000-0004-0000-0500-000018000000}"/>
    <hyperlink ref="C22" r:id="rId26" xr:uid="{00000000-0004-0000-0500-000019000000}"/>
    <hyperlink ref="C32" r:id="rId27" xr:uid="{00000000-0004-0000-0500-00001A000000}"/>
    <hyperlink ref="C43" r:id="rId28" xr:uid="{00000000-0004-0000-0500-00001B000000}"/>
    <hyperlink ref="C41" r:id="rId29" xr:uid="{00000000-0004-0000-0500-00001C000000}"/>
    <hyperlink ref="C14" r:id="rId30" xr:uid="{00000000-0004-0000-0500-00001D000000}"/>
    <hyperlink ref="C23" r:id="rId31" xr:uid="{00000000-0004-0000-0500-00001E000000}"/>
    <hyperlink ref="C36" r:id="rId32" xr:uid="{00000000-0004-0000-0500-00001F000000}"/>
    <hyperlink ref="C27" r:id="rId33" xr:uid="{00000000-0004-0000-0500-000020000000}"/>
    <hyperlink ref="C12" r:id="rId34" xr:uid="{00000000-0004-0000-0500-000021000000}"/>
    <hyperlink ref="C47" r:id="rId35" xr:uid="{00000000-0004-0000-0500-000022000000}"/>
    <hyperlink ref="C50" r:id="rId36" xr:uid="{00000000-0004-0000-0500-000023000000}"/>
    <hyperlink ref="C46" r:id="rId37" xr:uid="{00000000-0004-0000-0500-000024000000}"/>
    <hyperlink ref="C7" r:id="rId38" xr:uid="{00000000-0004-0000-0500-000025000000}"/>
    <hyperlink ref="C49" r:id="rId39" xr:uid="{00000000-0004-0000-0500-000026000000}"/>
    <hyperlink ref="C35" r:id="rId40" xr:uid="{00000000-0004-0000-0500-000027000000}"/>
    <hyperlink ref="C45" r:id="rId41" xr:uid="{00000000-0004-0000-0500-000028000000}"/>
    <hyperlink ref="C6" r:id="rId42" xr:uid="{00000000-0004-0000-0500-000029000000}"/>
    <hyperlink ref="C19" r:id="rId43" xr:uid="{00000000-0004-0000-0500-00002A000000}"/>
    <hyperlink ref="C40" r:id="rId44" xr:uid="{00000000-0004-0000-0500-00002B000000}"/>
    <hyperlink ref="C39" r:id="rId45" xr:uid="{00000000-0004-0000-0500-00002C000000}"/>
  </hyperlinks>
  <pageMargins left="0.7" right="0.7" top="0.75" bottom="0.75" header="0" footer="0"/>
  <pageSetup paperSize="9" orientation="portrait" r:id="rId46"/>
  <drawing r:id="rId4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Front Sheet</vt:lpstr>
      <vt:lpstr>CHECK IN SINGLE PRINT</vt:lpstr>
      <vt:lpstr>CHECK IN Comp Based</vt:lpstr>
      <vt:lpstr>Mens Workouts</vt:lpstr>
      <vt:lpstr>Ladies Workouts</vt:lpstr>
      <vt:lpstr>Exercises</vt:lpstr>
      <vt:lpstr>'CHECK IN Comp Based'!Print_Area</vt:lpstr>
      <vt:lpstr>'CHECK IN SINGLE PRINT'!Print_Area</vt:lpstr>
      <vt:lpstr>'Front Sheet'!Print_Area</vt:lpstr>
      <vt:lpstr>'Ladies Workouts'!Print_Area</vt:lpstr>
      <vt:lpstr>'Mens Workouts'!Print_Area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Stephen</dc:creator>
  <cp:lastModifiedBy>Chris Stewart</cp:lastModifiedBy>
  <cp:lastPrinted>2022-01-11T09:51:44Z</cp:lastPrinted>
  <dcterms:created xsi:type="dcterms:W3CDTF">2018-01-03T22:54:14Z</dcterms:created>
  <dcterms:modified xsi:type="dcterms:W3CDTF">2026-10-17T05:27:45Z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5a5628-45e9-4ab3-9be1-66b8fee5ba00_Enabled">
    <vt:lpwstr>true</vt:lpwstr>
  </property>
  <property fmtid="{D5CDD505-2E9C-101B-9397-08002B2CF9AE}" pid="3" name="MSIP_Label_345a5628-45e9-4ab3-9be1-66b8fee5ba00_SetDate">
    <vt:lpwstr>2022-01-09T12:03:10Z</vt:lpwstr>
  </property>
  <property fmtid="{D5CDD505-2E9C-101B-9397-08002B2CF9AE}" pid="4" name="MSIP_Label_345a5628-45e9-4ab3-9be1-66b8fee5ba00_Method">
    <vt:lpwstr>Standard</vt:lpwstr>
  </property>
  <property fmtid="{D5CDD505-2E9C-101B-9397-08002B2CF9AE}" pid="5" name="MSIP_Label_345a5628-45e9-4ab3-9be1-66b8fee5ba00_Name">
    <vt:lpwstr>Official</vt:lpwstr>
  </property>
  <property fmtid="{D5CDD505-2E9C-101B-9397-08002B2CF9AE}" pid="6" name="MSIP_Label_345a5628-45e9-4ab3-9be1-66b8fee5ba00_SiteId">
    <vt:lpwstr>72e022f2-1d7b-48a2-872d-a0ff35f57a8d</vt:lpwstr>
  </property>
  <property fmtid="{D5CDD505-2E9C-101B-9397-08002B2CF9AE}" pid="7" name="MSIP_Label_345a5628-45e9-4ab3-9be1-66b8fee5ba00_ActionId">
    <vt:lpwstr>54e82900-644d-4f44-b4b6-e837b45cfecd</vt:lpwstr>
  </property>
  <property fmtid="{D5CDD505-2E9C-101B-9397-08002B2CF9AE}" pid="8" name="MSIP_Label_345a5628-45e9-4ab3-9be1-66b8fee5ba00_ContentBits">
    <vt:lpwstr>3</vt:lpwstr>
  </property>
</Properties>
</file>